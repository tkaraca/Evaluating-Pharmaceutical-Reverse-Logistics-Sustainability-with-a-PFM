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d99d60b471aa66be/Ertugrul-Tolga-Bahar/-03. Pharmaceutical Supply Chains/9- Frontiers Environmental Science/Revize/dosyalar/"/>
    </mc:Choice>
  </mc:AlternateContent>
  <xr:revisionPtr revIDLastSave="382" documentId="13_ncr:1_{4A2F6A23-A716-4CD2-892B-734CB468AA31}" xr6:coauthVersionLast="47" xr6:coauthVersionMax="47" xr10:uidLastSave="{EB44A1A0-C50B-4E7F-9813-DDC6093525D3}"/>
  <bookViews>
    <workbookView xWindow="-96" yWindow="-96" windowWidth="23232" windowHeight="12432" activeTab="1" xr2:uid="{00000000-000D-0000-FFFF-FFFF00000000}"/>
  </bookViews>
  <sheets>
    <sheet name="PF ITARA" sheetId="2" r:id="rId1"/>
    <sheet name="PF EDAS 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4" i="2" l="1" a="1"/>
  <c r="BA4" i="2" s="1"/>
  <c r="AA25" i="2" l="1"/>
  <c r="W25" i="2"/>
  <c r="S25" i="2"/>
  <c r="O25" i="2"/>
  <c r="K25" i="2"/>
  <c r="G25" i="2"/>
  <c r="C25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C4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C27" i="2"/>
  <c r="AJ28" i="2" l="1"/>
  <c r="AH16" i="2"/>
  <c r="AH8" i="2"/>
  <c r="AH44" i="2"/>
  <c r="AH40" i="2"/>
  <c r="AH32" i="2"/>
  <c r="AH28" i="2"/>
  <c r="AG20" i="2"/>
  <c r="AG16" i="2"/>
  <c r="AG12" i="2"/>
  <c r="AG40" i="2"/>
  <c r="AG28" i="2"/>
  <c r="AH20" i="2"/>
  <c r="AG8" i="2"/>
  <c r="AJ38" i="2"/>
  <c r="AJ30" i="2"/>
  <c r="AG22" i="2"/>
  <c r="AG18" i="2"/>
  <c r="AG14" i="2"/>
  <c r="AG10" i="2"/>
  <c r="AG6" i="2"/>
  <c r="AG42" i="2"/>
  <c r="AG38" i="2"/>
  <c r="AG34" i="2"/>
  <c r="AG30" i="2"/>
  <c r="AJ14" i="2"/>
  <c r="AJ10" i="2"/>
  <c r="AJ19" i="2"/>
  <c r="AJ15" i="2"/>
  <c r="AP15" i="2" s="1"/>
  <c r="AJ11" i="2"/>
  <c r="AJ7" i="2"/>
  <c r="AG27" i="2"/>
  <c r="AJ43" i="2"/>
  <c r="AJ39" i="2"/>
  <c r="AJ35" i="2"/>
  <c r="AJ31" i="2"/>
  <c r="AG36" i="2"/>
  <c r="AJ6" i="2"/>
  <c r="AP6" i="2" s="1"/>
  <c r="AJ22" i="2"/>
  <c r="AI5" i="2"/>
  <c r="AH19" i="2"/>
  <c r="AH15" i="2"/>
  <c r="AH11" i="2"/>
  <c r="AN11" i="2" s="1"/>
  <c r="AH7" i="2"/>
  <c r="AH43" i="2"/>
  <c r="AH39" i="2"/>
  <c r="AH35" i="2"/>
  <c r="AH31" i="2"/>
  <c r="AH36" i="2"/>
  <c r="AJ42" i="2"/>
  <c r="AH5" i="2"/>
  <c r="AG19" i="2"/>
  <c r="AG15" i="2"/>
  <c r="AG11" i="2"/>
  <c r="AG7" i="2"/>
  <c r="AG43" i="2"/>
  <c r="AG39" i="2"/>
  <c r="AG35" i="2"/>
  <c r="AG31" i="2"/>
  <c r="AJ20" i="2"/>
  <c r="AJ16" i="2"/>
  <c r="AJ12" i="2"/>
  <c r="AJ8" i="2"/>
  <c r="AJ44" i="2"/>
  <c r="AJ40" i="2"/>
  <c r="AJ36" i="2"/>
  <c r="AJ32" i="2"/>
  <c r="AI20" i="2"/>
  <c r="AI16" i="2"/>
  <c r="AI12" i="2"/>
  <c r="AI8" i="2"/>
  <c r="AI44" i="2"/>
  <c r="AI40" i="2"/>
  <c r="AI36" i="2"/>
  <c r="AI32" i="2"/>
  <c r="AI28" i="2"/>
  <c r="AH12" i="2"/>
  <c r="AM20" i="2"/>
  <c r="AG32" i="2"/>
  <c r="AG5" i="2"/>
  <c r="AJ21" i="2"/>
  <c r="AP21" i="2" s="1"/>
  <c r="AJ17" i="2"/>
  <c r="AP17" i="2" s="1"/>
  <c r="AJ13" i="2"/>
  <c r="AJ9" i="2"/>
  <c r="AP9" i="2" s="1"/>
  <c r="AJ41" i="2"/>
  <c r="AJ37" i="2"/>
  <c r="AJ33" i="2"/>
  <c r="AJ29" i="2"/>
  <c r="AI39" i="2"/>
  <c r="AH21" i="2"/>
  <c r="AH17" i="2"/>
  <c r="AH13" i="2"/>
  <c r="AH9" i="2"/>
  <c r="AI27" i="2"/>
  <c r="AH41" i="2"/>
  <c r="AH37" i="2"/>
  <c r="AH33" i="2"/>
  <c r="AH29" i="2"/>
  <c r="AG21" i="2"/>
  <c r="AG17" i="2"/>
  <c r="AG13" i="2"/>
  <c r="AG9" i="2"/>
  <c r="AH27" i="2"/>
  <c r="AG41" i="2"/>
  <c r="AG37" i="2"/>
  <c r="AG33" i="2"/>
  <c r="AG29" i="2"/>
  <c r="AJ18" i="2"/>
  <c r="AJ34" i="2"/>
  <c r="AI22" i="2"/>
  <c r="AI18" i="2"/>
  <c r="AI14" i="2"/>
  <c r="AI10" i="2"/>
  <c r="AI6" i="2"/>
  <c r="AI42" i="2"/>
  <c r="AI38" i="2"/>
  <c r="AI34" i="2"/>
  <c r="AI30" i="2"/>
  <c r="AG44" i="2"/>
  <c r="AH22" i="2"/>
  <c r="AN22" i="2" s="1"/>
  <c r="AH18" i="2"/>
  <c r="AN18" i="2" s="1"/>
  <c r="AH14" i="2"/>
  <c r="AH10" i="2"/>
  <c r="AN10" i="2" s="1"/>
  <c r="AH6" i="2"/>
  <c r="AH42" i="2"/>
  <c r="AN20" i="2" s="1"/>
  <c r="AH38" i="2"/>
  <c r="AN16" i="2" s="1"/>
  <c r="AH34" i="2"/>
  <c r="AH30" i="2"/>
  <c r="AN8" i="2" s="1"/>
  <c r="AI7" i="2"/>
  <c r="AI29" i="2"/>
  <c r="AI21" i="2"/>
  <c r="AI17" i="2"/>
  <c r="AJ27" i="2"/>
  <c r="AI31" i="2"/>
  <c r="AI19" i="2"/>
  <c r="AI13" i="2"/>
  <c r="AI41" i="2"/>
  <c r="AI35" i="2"/>
  <c r="AI9" i="2"/>
  <c r="AI37" i="2"/>
  <c r="AJ5" i="2"/>
  <c r="AI15" i="2"/>
  <c r="AI43" i="2"/>
  <c r="AI33" i="2"/>
  <c r="AI11" i="2"/>
  <c r="AP12" i="2" l="1"/>
  <c r="AN6" i="2"/>
  <c r="AP10" i="2"/>
  <c r="AP8" i="2"/>
  <c r="AN15" i="2"/>
  <c r="AN19" i="2"/>
  <c r="AM16" i="2"/>
  <c r="AN9" i="2"/>
  <c r="AM12" i="2"/>
  <c r="AN12" i="2"/>
  <c r="AP22" i="2"/>
  <c r="AO21" i="2"/>
  <c r="AO11" i="2"/>
  <c r="AN21" i="2"/>
  <c r="AX21" i="2" s="1"/>
  <c r="AP19" i="2"/>
  <c r="AN13" i="2"/>
  <c r="AP14" i="2"/>
  <c r="AN17" i="2"/>
  <c r="AM11" i="2"/>
  <c r="AO5" i="2"/>
  <c r="AM15" i="2"/>
  <c r="AM6" i="2"/>
  <c r="AO6" i="2"/>
  <c r="AP16" i="2"/>
  <c r="AM14" i="2"/>
  <c r="AM18" i="2"/>
  <c r="AM17" i="2"/>
  <c r="AO8" i="2"/>
  <c r="AM7" i="2"/>
  <c r="AO12" i="2"/>
  <c r="AO16" i="2"/>
  <c r="AR16" i="2" s="1"/>
  <c r="AM9" i="2"/>
  <c r="AO10" i="2"/>
  <c r="AP13" i="2"/>
  <c r="AO20" i="2"/>
  <c r="AM19" i="2"/>
  <c r="AO17" i="2"/>
  <c r="AO14" i="2"/>
  <c r="AN5" i="2"/>
  <c r="AM21" i="2"/>
  <c r="AO18" i="2"/>
  <c r="AM10" i="2"/>
  <c r="AO22" i="2"/>
  <c r="C5" i="4" a="1"/>
  <c r="AM5" i="2"/>
  <c r="AP5" i="2"/>
  <c r="AP18" i="2"/>
  <c r="AV18" i="2" s="1"/>
  <c r="AM22" i="2"/>
  <c r="AM13" i="2"/>
  <c r="W5" i="4" a="1"/>
  <c r="AO9" i="2"/>
  <c r="AN14" i="2"/>
  <c r="AP7" i="2"/>
  <c r="AP20" i="2"/>
  <c r="AN7" i="2"/>
  <c r="AP11" i="2"/>
  <c r="AM8" i="2"/>
  <c r="AO7" i="2"/>
  <c r="AO13" i="2"/>
  <c r="AO19" i="2"/>
  <c r="AO15" i="2"/>
  <c r="AW15" i="2" s="1"/>
  <c r="AW11" i="2" l="1"/>
  <c r="AX15" i="2"/>
  <c r="AX9" i="2"/>
  <c r="AV10" i="2"/>
  <c r="AR21" i="2"/>
  <c r="AW12" i="2"/>
  <c r="AX8" i="2"/>
  <c r="AW6" i="2"/>
  <c r="AV6" i="2"/>
  <c r="AW8" i="2"/>
  <c r="AR11" i="2"/>
  <c r="AV16" i="2"/>
  <c r="AW17" i="2"/>
  <c r="AW21" i="2"/>
  <c r="AV21" i="2"/>
  <c r="AV11" i="2"/>
  <c r="AX16" i="2"/>
  <c r="AY16" i="2"/>
  <c r="AW9" i="2"/>
  <c r="AR9" i="2"/>
  <c r="AU16" i="2"/>
  <c r="AX5" i="2"/>
  <c r="AX19" i="2"/>
  <c r="AV17" i="2"/>
  <c r="AX6" i="2"/>
  <c r="AV22" i="2"/>
  <c r="AY11" i="2"/>
  <c r="AW16" i="2"/>
  <c r="AU6" i="2"/>
  <c r="AY6" i="2"/>
  <c r="AX11" i="2"/>
  <c r="AW14" i="2"/>
  <c r="AU11" i="2"/>
  <c r="AV13" i="2"/>
  <c r="AV7" i="2"/>
  <c r="AX18" i="2"/>
  <c r="AR6" i="2"/>
  <c r="AX14" i="2"/>
  <c r="AW19" i="2"/>
  <c r="AX20" i="2"/>
  <c r="AX22" i="2"/>
  <c r="C5" i="4"/>
  <c r="AT8" i="4"/>
  <c r="AR8" i="4"/>
  <c r="AU7" i="4"/>
  <c r="AR6" i="4"/>
  <c r="AY5" i="4"/>
  <c r="BA8" i="4"/>
  <c r="AQ8" i="4"/>
  <c r="AS7" i="4"/>
  <c r="AQ6" i="4"/>
  <c r="J13" i="4"/>
  <c r="BB8" i="4"/>
  <c r="BB7" i="4"/>
  <c r="AR7" i="4"/>
  <c r="H13" i="4"/>
  <c r="AQ7" i="4"/>
  <c r="AT7" i="4"/>
  <c r="AU6" i="4"/>
  <c r="G13" i="4"/>
  <c r="BG8" i="4"/>
  <c r="BG7" i="4"/>
  <c r="BF7" i="4"/>
  <c r="BH8" i="4"/>
  <c r="BH7" i="4"/>
  <c r="BH6" i="4"/>
  <c r="AT5" i="4"/>
  <c r="BE8" i="4"/>
  <c r="BE7" i="4"/>
  <c r="BE6" i="4"/>
  <c r="AX8" i="4"/>
  <c r="AX7" i="4"/>
  <c r="AW7" i="4"/>
  <c r="BB5" i="4"/>
  <c r="AV7" i="4"/>
  <c r="BF6" i="4"/>
  <c r="BD8" i="4"/>
  <c r="BD7" i="4"/>
  <c r="BB6" i="4"/>
  <c r="AV6" i="4"/>
  <c r="BC5" i="4"/>
  <c r="BD6" i="4"/>
  <c r="BG6" i="4"/>
  <c r="BC8" i="4"/>
  <c r="BC7" i="4"/>
  <c r="M18" i="4"/>
  <c r="AZ8" i="4"/>
  <c r="AZ6" i="4"/>
  <c r="BG5" i="4"/>
  <c r="BE5" i="4"/>
  <c r="AZ7" i="4"/>
  <c r="R13" i="4"/>
  <c r="AY7" i="4"/>
  <c r="BC6" i="4"/>
  <c r="AW6" i="4"/>
  <c r="AV8" i="4"/>
  <c r="F18" i="4"/>
  <c r="AS5" i="4"/>
  <c r="AW5" i="4"/>
  <c r="BA7" i="4"/>
  <c r="AY8" i="4"/>
  <c r="AY6" i="4"/>
  <c r="P13" i="4"/>
  <c r="AW8" i="4"/>
  <c r="AS8" i="4"/>
  <c r="BA5" i="4"/>
  <c r="BF8" i="4"/>
  <c r="AX6" i="4"/>
  <c r="AU8" i="4"/>
  <c r="E18" i="4"/>
  <c r="T20" i="4"/>
  <c r="S20" i="4"/>
  <c r="G17" i="4"/>
  <c r="Q18" i="4"/>
  <c r="R18" i="4"/>
  <c r="F19" i="4"/>
  <c r="Q13" i="4"/>
  <c r="F13" i="4"/>
  <c r="H17" i="4"/>
  <c r="AB17" i="4" s="1"/>
  <c r="O20" i="4"/>
  <c r="AI20" i="4" s="1"/>
  <c r="O17" i="4"/>
  <c r="AI17" i="4" s="1"/>
  <c r="AV5" i="4"/>
  <c r="H19" i="4"/>
  <c r="AB19" i="4" s="1"/>
  <c r="I19" i="4"/>
  <c r="G20" i="4"/>
  <c r="C18" i="4"/>
  <c r="W18" i="4" s="1"/>
  <c r="G18" i="4"/>
  <c r="S18" i="4"/>
  <c r="N19" i="4"/>
  <c r="AH19" i="4" s="1"/>
  <c r="K17" i="4"/>
  <c r="AE17" i="4" s="1"/>
  <c r="D20" i="4"/>
  <c r="X20" i="4" s="1"/>
  <c r="I18" i="4"/>
  <c r="BH5" i="4"/>
  <c r="I13" i="4"/>
  <c r="N13" i="4"/>
  <c r="C19" i="4"/>
  <c r="W19" i="4" s="1"/>
  <c r="Q19" i="4"/>
  <c r="AZ5" i="4"/>
  <c r="K19" i="4"/>
  <c r="AE19" i="4" s="1"/>
  <c r="H20" i="4"/>
  <c r="AB20" i="4" s="1"/>
  <c r="P19" i="4"/>
  <c r="AJ19" i="4" s="1"/>
  <c r="F17" i="4"/>
  <c r="E19" i="4"/>
  <c r="AS6" i="4"/>
  <c r="D17" i="4"/>
  <c r="X17" i="4" s="1"/>
  <c r="L19" i="4"/>
  <c r="R19" i="4"/>
  <c r="C20" i="4"/>
  <c r="W20" i="4" s="1"/>
  <c r="K20" i="4"/>
  <c r="AE20" i="4" s="1"/>
  <c r="BF5" i="4"/>
  <c r="AR5" i="4"/>
  <c r="E20" i="4"/>
  <c r="P17" i="4"/>
  <c r="S19" i="4"/>
  <c r="M17" i="4"/>
  <c r="AX5" i="4"/>
  <c r="N18" i="4"/>
  <c r="AH18" i="4" s="1"/>
  <c r="M20" i="4"/>
  <c r="I17" i="4"/>
  <c r="K13" i="4"/>
  <c r="P20" i="4"/>
  <c r="E17" i="4"/>
  <c r="AU5" i="4"/>
  <c r="N17" i="4"/>
  <c r="AH17" i="4" s="1"/>
  <c r="J17" i="4"/>
  <c r="M13" i="4"/>
  <c r="D19" i="4"/>
  <c r="X19" i="4" s="1"/>
  <c r="G19" i="4"/>
  <c r="T19" i="4"/>
  <c r="T13" i="4"/>
  <c r="R20" i="4"/>
  <c r="L13" i="4"/>
  <c r="S13" i="4"/>
  <c r="O18" i="4"/>
  <c r="AI18" i="4" s="1"/>
  <c r="N20" i="4"/>
  <c r="AH20" i="4" s="1"/>
  <c r="Q17" i="4"/>
  <c r="Q20" i="4"/>
  <c r="L18" i="4"/>
  <c r="R17" i="4"/>
  <c r="T18" i="4"/>
  <c r="J20" i="4"/>
  <c r="AT6" i="4"/>
  <c r="M19" i="4"/>
  <c r="H18" i="4"/>
  <c r="AB18" i="4" s="1"/>
  <c r="F20" i="4"/>
  <c r="P18" i="4"/>
  <c r="D18" i="4"/>
  <c r="X18" i="4" s="1"/>
  <c r="K18" i="4"/>
  <c r="AE18" i="4" s="1"/>
  <c r="L17" i="4"/>
  <c r="O19" i="4"/>
  <c r="AI19" i="4" s="1"/>
  <c r="T17" i="4"/>
  <c r="L20" i="4"/>
  <c r="D13" i="4"/>
  <c r="BA6" i="4"/>
  <c r="E13" i="4"/>
  <c r="I20" i="4"/>
  <c r="BD5" i="4"/>
  <c r="J19" i="4"/>
  <c r="O13" i="4"/>
  <c r="S17" i="4"/>
  <c r="J18" i="4"/>
  <c r="AW13" i="2"/>
  <c r="AU14" i="2"/>
  <c r="AV19" i="2"/>
  <c r="AU7" i="2"/>
  <c r="AY7" i="2"/>
  <c r="AX7" i="2"/>
  <c r="AU10" i="2"/>
  <c r="AY10" i="2"/>
  <c r="AR10" i="2"/>
  <c r="AY17" i="2"/>
  <c r="AU17" i="2"/>
  <c r="AW18" i="2"/>
  <c r="AR18" i="2"/>
  <c r="AW20" i="2"/>
  <c r="AW22" i="2"/>
  <c r="AU19" i="2"/>
  <c r="AY19" i="2"/>
  <c r="AV14" i="2"/>
  <c r="AV15" i="2"/>
  <c r="AY21" i="2"/>
  <c r="AU21" i="2"/>
  <c r="AX13" i="2"/>
  <c r="AR20" i="2"/>
  <c r="AY13" i="2"/>
  <c r="AU13" i="2"/>
  <c r="AW7" i="2"/>
  <c r="AR14" i="2"/>
  <c r="AV12" i="2"/>
  <c r="AY18" i="2"/>
  <c r="AX10" i="2"/>
  <c r="AW10" i="2"/>
  <c r="AV20" i="2"/>
  <c r="AU18" i="2"/>
  <c r="AY9" i="2"/>
  <c r="AU9" i="2"/>
  <c r="AR12" i="2"/>
  <c r="W5" i="4"/>
  <c r="W13" i="4" s="1"/>
  <c r="AN13" i="4"/>
  <c r="AI13" i="4"/>
  <c r="AG13" i="4"/>
  <c r="AH13" i="4"/>
  <c r="Z13" i="4"/>
  <c r="Y13" i="4"/>
  <c r="X13" i="4"/>
  <c r="AF13" i="4"/>
  <c r="AL13" i="4"/>
  <c r="AJ13" i="4"/>
  <c r="AK13" i="4"/>
  <c r="AE13" i="4"/>
  <c r="AB13" i="4"/>
  <c r="AA13" i="4"/>
  <c r="AD13" i="4"/>
  <c r="AC13" i="4"/>
  <c r="AM13" i="4"/>
  <c r="AV9" i="2"/>
  <c r="AU15" i="2"/>
  <c r="AU12" i="2"/>
  <c r="AV5" i="2"/>
  <c r="AY15" i="2"/>
  <c r="AY12" i="2"/>
  <c r="AY22" i="2"/>
  <c r="AU22" i="2"/>
  <c r="AR22" i="2"/>
  <c r="AY14" i="2"/>
  <c r="AU20" i="2"/>
  <c r="AY20" i="2"/>
  <c r="AU8" i="2"/>
  <c r="AY8" i="2"/>
  <c r="AR8" i="2"/>
  <c r="AX12" i="2"/>
  <c r="AR17" i="2"/>
  <c r="AW5" i="2"/>
  <c r="AR5" i="2"/>
  <c r="AU5" i="2"/>
  <c r="AY5" i="2"/>
  <c r="AX17" i="2"/>
  <c r="AV8" i="2"/>
  <c r="AR15" i="2"/>
  <c r="AR19" i="2"/>
  <c r="AR13" i="2"/>
  <c r="AR7" i="2"/>
  <c r="R21" i="4" l="1"/>
  <c r="AL21" i="4" s="1"/>
  <c r="I21" i="4"/>
  <c r="AC21" i="4" s="1"/>
  <c r="Q21" i="4"/>
  <c r="AK21" i="4" s="1"/>
  <c r="K21" i="4"/>
  <c r="K29" i="4" s="1"/>
  <c r="O21" i="4"/>
  <c r="O28" i="4" s="1"/>
  <c r="N21" i="4"/>
  <c r="N27" i="4" s="1"/>
  <c r="BO12" i="2" a="1"/>
  <c r="AD19" i="4"/>
  <c r="M21" i="4"/>
  <c r="AG21" i="4" s="1"/>
  <c r="F21" i="4"/>
  <c r="Z21" i="4" s="1"/>
  <c r="AG18" i="4"/>
  <c r="AD17" i="4"/>
  <c r="AC20" i="4"/>
  <c r="AN18" i="4"/>
  <c r="AC18" i="4"/>
  <c r="Z19" i="4"/>
  <c r="J21" i="4"/>
  <c r="AD21" i="4" s="1"/>
  <c r="P21" i="4"/>
  <c r="P26" i="4" s="1"/>
  <c r="AD20" i="4"/>
  <c r="E21" i="4"/>
  <c r="Y21" i="4" s="1"/>
  <c r="AL17" i="4"/>
  <c r="AL19" i="4"/>
  <c r="AL18" i="4"/>
  <c r="AF18" i="4"/>
  <c r="Y17" i="4"/>
  <c r="AF19" i="4"/>
  <c r="AK18" i="4"/>
  <c r="Y20" i="4"/>
  <c r="D21" i="4"/>
  <c r="AK20" i="4"/>
  <c r="AK29" i="4" s="1"/>
  <c r="Q29" i="4"/>
  <c r="AJ20" i="4"/>
  <c r="AA17" i="4"/>
  <c r="Z18" i="4"/>
  <c r="AG19" i="4"/>
  <c r="AF20" i="4"/>
  <c r="AK17" i="4"/>
  <c r="Q26" i="4"/>
  <c r="K27" i="4"/>
  <c r="K26" i="4"/>
  <c r="AM18" i="4"/>
  <c r="AM20" i="4"/>
  <c r="AN17" i="4"/>
  <c r="AC17" i="4"/>
  <c r="Y19" i="4"/>
  <c r="AA18" i="4"/>
  <c r="AN20" i="4"/>
  <c r="AM17" i="4"/>
  <c r="BB27" i="2" a="1"/>
  <c r="AG20" i="4"/>
  <c r="Z17" i="4"/>
  <c r="Y18" i="4"/>
  <c r="AF17" i="4"/>
  <c r="S21" i="4"/>
  <c r="AM21" i="4" s="1"/>
  <c r="AA20" i="4"/>
  <c r="L21" i="4"/>
  <c r="AF21" i="4" s="1"/>
  <c r="AC19" i="4"/>
  <c r="G21" i="4"/>
  <c r="AA21" i="4" s="1"/>
  <c r="AA19" i="4"/>
  <c r="H21" i="4"/>
  <c r="AL20" i="4"/>
  <c r="AG17" i="4"/>
  <c r="AJ18" i="4"/>
  <c r="T21" i="4"/>
  <c r="AN21" i="4" s="1"/>
  <c r="AM19" i="4"/>
  <c r="C13" i="4"/>
  <c r="C21" i="4" s="1"/>
  <c r="AQ5" i="4"/>
  <c r="C17" i="4"/>
  <c r="W17" i="4" s="1"/>
  <c r="AD18" i="4"/>
  <c r="Z20" i="4"/>
  <c r="AN19" i="4"/>
  <c r="AJ17" i="4"/>
  <c r="AK19" i="4"/>
  <c r="AK28" i="4" s="1"/>
  <c r="O29" i="4" l="1"/>
  <c r="O26" i="4"/>
  <c r="O27" i="4"/>
  <c r="AI21" i="4"/>
  <c r="AI28" i="4" s="1"/>
  <c r="I29" i="4"/>
  <c r="AC29" i="4"/>
  <c r="AC27" i="4"/>
  <c r="J27" i="4"/>
  <c r="N28" i="4"/>
  <c r="N29" i="4"/>
  <c r="AE21" i="4"/>
  <c r="AE26" i="4" s="1"/>
  <c r="AK26" i="4"/>
  <c r="Q28" i="4"/>
  <c r="I26" i="4"/>
  <c r="I28" i="4"/>
  <c r="AC28" i="4"/>
  <c r="AC26" i="4"/>
  <c r="I27" i="4"/>
  <c r="R27" i="4"/>
  <c r="AL27" i="4"/>
  <c r="AL29" i="4"/>
  <c r="AL28" i="4"/>
  <c r="R28" i="4"/>
  <c r="AL26" i="4"/>
  <c r="R26" i="4"/>
  <c r="N26" i="4"/>
  <c r="AH21" i="4"/>
  <c r="AH28" i="4" s="1"/>
  <c r="R29" i="4"/>
  <c r="Q27" i="4"/>
  <c r="K28" i="4"/>
  <c r="F27" i="4"/>
  <c r="S29" i="4"/>
  <c r="S26" i="4"/>
  <c r="S27" i="4"/>
  <c r="AK27" i="4"/>
  <c r="E29" i="4"/>
  <c r="BM12" i="2" a="1"/>
  <c r="BM12" i="2" s="1"/>
  <c r="BM20" i="2" s="1"/>
  <c r="AD29" i="4"/>
  <c r="BK12" i="2" a="1"/>
  <c r="BK23" i="2" s="1"/>
  <c r="AI29" i="4"/>
  <c r="BE12" i="2" a="1"/>
  <c r="BE23" i="2" s="1"/>
  <c r="E27" i="4"/>
  <c r="BF12" i="2" a="1"/>
  <c r="BF12" i="2" s="1"/>
  <c r="BF20" i="2" s="1"/>
  <c r="BL12" i="2" a="1"/>
  <c r="BL23" i="2" s="1"/>
  <c r="BC12" i="2" a="1"/>
  <c r="BC12" i="2" s="1"/>
  <c r="BC20" i="2" s="1"/>
  <c r="L27" i="4"/>
  <c r="G28" i="4"/>
  <c r="AI26" i="4"/>
  <c r="G26" i="4"/>
  <c r="BD12" i="2" a="1"/>
  <c r="BD23" i="2" s="1"/>
  <c r="BG12" i="2" a="1"/>
  <c r="BG23" i="2" s="1"/>
  <c r="AI27" i="4"/>
  <c r="BQ12" i="2" a="1"/>
  <c r="BQ12" i="2" s="1"/>
  <c r="BQ20" i="2" s="1"/>
  <c r="E28" i="4"/>
  <c r="BS12" i="2" a="1"/>
  <c r="BS23" i="2" s="1"/>
  <c r="BI12" i="2" a="1"/>
  <c r="BI23" i="2" s="1"/>
  <c r="BR12" i="2" a="1"/>
  <c r="BR22" i="2" s="1"/>
  <c r="BP12" i="2" a="1"/>
  <c r="BP21" i="2" s="1"/>
  <c r="BP33" i="2" s="1"/>
  <c r="G29" i="4"/>
  <c r="BN12" i="2" a="1"/>
  <c r="BN22" i="2" s="1"/>
  <c r="L28" i="4"/>
  <c r="BJ12" i="2" a="1"/>
  <c r="BJ12" i="2" s="1"/>
  <c r="BB12" i="2" a="1"/>
  <c r="BB21" i="2" s="1"/>
  <c r="F26" i="4"/>
  <c r="G27" i="4"/>
  <c r="BH12" i="2" a="1"/>
  <c r="BH22" i="2" s="1"/>
  <c r="Y26" i="4"/>
  <c r="E26" i="4"/>
  <c r="D29" i="4"/>
  <c r="D26" i="4"/>
  <c r="D28" i="4"/>
  <c r="X21" i="4"/>
  <c r="D27" i="4"/>
  <c r="J26" i="4"/>
  <c r="AA27" i="4"/>
  <c r="AA28" i="4"/>
  <c r="AA29" i="4"/>
  <c r="AA26" i="4"/>
  <c r="AN26" i="4"/>
  <c r="Y27" i="4"/>
  <c r="Y29" i="4"/>
  <c r="Y28" i="4"/>
  <c r="AD26" i="4"/>
  <c r="M26" i="4"/>
  <c r="AG26" i="4"/>
  <c r="T27" i="4"/>
  <c r="T26" i="4"/>
  <c r="J29" i="4"/>
  <c r="M27" i="4"/>
  <c r="BO22" i="2"/>
  <c r="BO21" i="2"/>
  <c r="BO12" i="2"/>
  <c r="BO20" i="2" s="1"/>
  <c r="BO23" i="2"/>
  <c r="S28" i="4"/>
  <c r="Z26" i="4"/>
  <c r="L29" i="4"/>
  <c r="BM22" i="2"/>
  <c r="BM21" i="2"/>
  <c r="BK21" i="2"/>
  <c r="BK22" i="2"/>
  <c r="AN29" i="4"/>
  <c r="AN28" i="4"/>
  <c r="P28" i="4"/>
  <c r="AJ21" i="4"/>
  <c r="Z27" i="4"/>
  <c r="Z28" i="4"/>
  <c r="P27" i="4"/>
  <c r="AF28" i="4"/>
  <c r="AF29" i="4"/>
  <c r="AF26" i="4"/>
  <c r="AF27" i="4"/>
  <c r="M29" i="4"/>
  <c r="M28" i="4"/>
  <c r="F28" i="4"/>
  <c r="AG27" i="4"/>
  <c r="AG28" i="4"/>
  <c r="AG29" i="4"/>
  <c r="BQ23" i="2"/>
  <c r="BQ22" i="2"/>
  <c r="T29" i="4"/>
  <c r="C29" i="4"/>
  <c r="C27" i="4"/>
  <c r="C28" i="4"/>
  <c r="C26" i="4"/>
  <c r="W21" i="4"/>
  <c r="BQ28" i="2"/>
  <c r="BI28" i="2"/>
  <c r="BP28" i="2"/>
  <c r="BE28" i="2"/>
  <c r="BG28" i="2"/>
  <c r="BJ28" i="2"/>
  <c r="BL28" i="2"/>
  <c r="BM28" i="2"/>
  <c r="BF28" i="2"/>
  <c r="BB27" i="2"/>
  <c r="BB28" i="2" s="1"/>
  <c r="BH28" i="2"/>
  <c r="BD28" i="2"/>
  <c r="BK28" i="2"/>
  <c r="BC28" i="2"/>
  <c r="BS28" i="2"/>
  <c r="BN28" i="2"/>
  <c r="BO28" i="2"/>
  <c r="BR28" i="2"/>
  <c r="AD28" i="4"/>
  <c r="Z29" i="4"/>
  <c r="AM27" i="4"/>
  <c r="AM26" i="4"/>
  <c r="AM28" i="4"/>
  <c r="AM29" i="4"/>
  <c r="P29" i="4"/>
  <c r="J28" i="4"/>
  <c r="F29" i="4"/>
  <c r="L26" i="4"/>
  <c r="AN27" i="4"/>
  <c r="T28" i="4"/>
  <c r="BI12" i="2"/>
  <c r="BI20" i="2" s="1"/>
  <c r="AD27" i="4"/>
  <c r="AB21" i="4"/>
  <c r="H26" i="4"/>
  <c r="H28" i="4"/>
  <c r="H29" i="4"/>
  <c r="H27" i="4"/>
  <c r="AE27" i="4" l="1"/>
  <c r="AE29" i="4"/>
  <c r="AE28" i="4"/>
  <c r="AH26" i="4"/>
  <c r="AH29" i="4"/>
  <c r="AH27" i="4"/>
  <c r="BI32" i="2"/>
  <c r="BK12" i="2"/>
  <c r="BK20" i="2" s="1"/>
  <c r="BE21" i="2"/>
  <c r="BE33" i="2" s="1"/>
  <c r="BE22" i="2"/>
  <c r="BE34" i="2" s="1"/>
  <c r="BI21" i="2"/>
  <c r="BI22" i="2"/>
  <c r="BM23" i="2"/>
  <c r="BS12" i="2"/>
  <c r="BS20" i="2" s="1"/>
  <c r="BR34" i="2"/>
  <c r="BI35" i="2"/>
  <c r="BB23" i="2"/>
  <c r="BQ21" i="2"/>
  <c r="BR23" i="2"/>
  <c r="BR35" i="2" s="1"/>
  <c r="BP12" i="2"/>
  <c r="BP20" i="2" s="1"/>
  <c r="BP32" i="2" s="1"/>
  <c r="BR12" i="2"/>
  <c r="BR20" i="2" s="1"/>
  <c r="BR32" i="2" s="1"/>
  <c r="BL12" i="2"/>
  <c r="BL20" i="2" s="1"/>
  <c r="BL32" i="2" s="1"/>
  <c r="BL22" i="2"/>
  <c r="BL34" i="2" s="1"/>
  <c r="BP22" i="2"/>
  <c r="BP34" i="2" s="1"/>
  <c r="BS22" i="2"/>
  <c r="BS34" i="2" s="1"/>
  <c r="BL21" i="2"/>
  <c r="BL33" i="2" s="1"/>
  <c r="BP23" i="2"/>
  <c r="BP35" i="2" s="1"/>
  <c r="BS21" i="2"/>
  <c r="BS33" i="2" s="1"/>
  <c r="BE12" i="2"/>
  <c r="BE20" i="2" s="1"/>
  <c r="BE32" i="2" s="1"/>
  <c r="BF21" i="2"/>
  <c r="BF33" i="2" s="1"/>
  <c r="BH21" i="2"/>
  <c r="BH33" i="2" s="1"/>
  <c r="BH12" i="2"/>
  <c r="BH20" i="2" s="1"/>
  <c r="BH32" i="2" s="1"/>
  <c r="BB33" i="2"/>
  <c r="BH23" i="2"/>
  <c r="BH35" i="2" s="1"/>
  <c r="BN34" i="2"/>
  <c r="BQ35" i="2"/>
  <c r="BD12" i="2"/>
  <c r="BD20" i="2" s="1"/>
  <c r="BD32" i="2" s="1"/>
  <c r="BD22" i="2"/>
  <c r="BD34" i="2" s="1"/>
  <c r="BC22" i="2"/>
  <c r="BC34" i="2" s="1"/>
  <c r="BC21" i="2"/>
  <c r="BC33" i="2" s="1"/>
  <c r="BD21" i="2"/>
  <c r="BD33" i="2" s="1"/>
  <c r="BC23" i="2"/>
  <c r="BC35" i="2" s="1"/>
  <c r="BR21" i="2"/>
  <c r="BR33" i="2" s="1"/>
  <c r="BG21" i="2"/>
  <c r="BG33" i="2" s="1"/>
  <c r="BQ34" i="2"/>
  <c r="BB35" i="2"/>
  <c r="BN12" i="2"/>
  <c r="BN20" i="2" s="1"/>
  <c r="BN32" i="2" s="1"/>
  <c r="BF22" i="2"/>
  <c r="BF34" i="2" s="1"/>
  <c r="BN21" i="2"/>
  <c r="BN33" i="2" s="1"/>
  <c r="BG22" i="2"/>
  <c r="BG34" i="2" s="1"/>
  <c r="BF23" i="2"/>
  <c r="BG12" i="2"/>
  <c r="BG20" i="2" s="1"/>
  <c r="BG32" i="2" s="1"/>
  <c r="BQ32" i="2"/>
  <c r="BN23" i="2"/>
  <c r="BN35" i="2" s="1"/>
  <c r="BS32" i="2"/>
  <c r="BB22" i="2"/>
  <c r="BB34" i="2" s="1"/>
  <c r="BB12" i="2"/>
  <c r="BB20" i="2" s="1"/>
  <c r="BB32" i="2" s="1"/>
  <c r="BJ22" i="2"/>
  <c r="BJ34" i="2" s="1"/>
  <c r="BI33" i="2"/>
  <c r="BJ20" i="2"/>
  <c r="BJ32" i="2" s="1"/>
  <c r="BQ33" i="2"/>
  <c r="BK35" i="2"/>
  <c r="BJ21" i="2"/>
  <c r="BJ33" i="2" s="1"/>
  <c r="BJ23" i="2"/>
  <c r="BK32" i="2"/>
  <c r="BJ35" i="2"/>
  <c r="AJ28" i="4"/>
  <c r="AJ29" i="4"/>
  <c r="AJ26" i="4"/>
  <c r="AJ27" i="4"/>
  <c r="BM35" i="2"/>
  <c r="BC32" i="2"/>
  <c r="BD35" i="2"/>
  <c r="BM33" i="2"/>
  <c r="BM32" i="2"/>
  <c r="BS35" i="2"/>
  <c r="BH34" i="2"/>
  <c r="W29" i="4"/>
  <c r="W28" i="4"/>
  <c r="W27" i="4"/>
  <c r="BF35" i="2"/>
  <c r="AB27" i="4"/>
  <c r="AB28" i="4"/>
  <c r="AB29" i="4"/>
  <c r="AB26" i="4"/>
  <c r="BG35" i="2"/>
  <c r="W26" i="4"/>
  <c r="BF32" i="2"/>
  <c r="BE35" i="2"/>
  <c r="BO32" i="2"/>
  <c r="BO35" i="2"/>
  <c r="X26" i="4"/>
  <c r="X28" i="4"/>
  <c r="X29" i="4"/>
  <c r="X27" i="4"/>
  <c r="BM34" i="2"/>
  <c r="BI34" i="2"/>
  <c r="BK34" i="2"/>
  <c r="BO33" i="2"/>
  <c r="BL35" i="2"/>
  <c r="BK33" i="2"/>
  <c r="BO34" i="2"/>
  <c r="BR38" i="2" l="1"/>
  <c r="BH38" i="2"/>
  <c r="BN38" i="2"/>
  <c r="BI38" i="2"/>
  <c r="BP38" i="2"/>
  <c r="BS38" i="2"/>
  <c r="BQ38" i="2"/>
  <c r="BB38" i="2"/>
  <c r="BJ38" i="2"/>
  <c r="BC38" i="2"/>
  <c r="BL38" i="2"/>
  <c r="BG38" i="2"/>
  <c r="BD38" i="2"/>
  <c r="BO38" i="2"/>
  <c r="BE38" i="2"/>
  <c r="BF38" i="2"/>
  <c r="BK38" i="2"/>
  <c r="BM38" i="2"/>
  <c r="BG40" i="2" l="1"/>
  <c r="H31" i="4" s="1"/>
  <c r="BK40" i="2"/>
  <c r="L31" i="4" s="1"/>
  <c r="BH40" i="2"/>
  <c r="BM40" i="2"/>
  <c r="BP40" i="2"/>
  <c r="BO40" i="2"/>
  <c r="BE40" i="2"/>
  <c r="BR40" i="2"/>
  <c r="BJ40" i="2"/>
  <c r="BI40" i="2"/>
  <c r="BQ40" i="2"/>
  <c r="BD40" i="2"/>
  <c r="BF40" i="2"/>
  <c r="BN40" i="2"/>
  <c r="BL40" i="2"/>
  <c r="BB40" i="2"/>
  <c r="BC40" i="2"/>
  <c r="BS40" i="2"/>
  <c r="J31" i="4" l="1"/>
  <c r="S31" i="4"/>
  <c r="O31" i="4"/>
  <c r="Q31" i="4"/>
  <c r="R31" i="4"/>
  <c r="K31" i="4"/>
  <c r="P31" i="4"/>
  <c r="N31" i="4"/>
  <c r="E31" i="4"/>
  <c r="F31" i="4"/>
  <c r="T31" i="4"/>
  <c r="D31" i="4"/>
  <c r="I31" i="4"/>
  <c r="G31" i="4"/>
  <c r="C31" i="4"/>
  <c r="M31" i="4"/>
  <c r="C35" i="4" l="1"/>
  <c r="C38" i="4"/>
  <c r="C36" i="4"/>
  <c r="F38" i="4"/>
  <c r="F35" i="4"/>
  <c r="C37" i="4"/>
  <c r="F36" i="4"/>
  <c r="F37" i="4"/>
  <c r="G37" i="4" l="1"/>
  <c r="D36" i="4"/>
  <c r="G36" i="4"/>
  <c r="D37" i="4"/>
  <c r="G35" i="4"/>
  <c r="G38" i="4"/>
  <c r="D38" i="4"/>
  <c r="D35" i="4"/>
  <c r="I35" i="4" s="1"/>
  <c r="I38" i="4" l="1"/>
  <c r="I37" i="4"/>
  <c r="I36" i="4"/>
  <c r="K38" i="4" l="1"/>
  <c r="K37" i="4"/>
  <c r="K36" i="4"/>
  <c r="K35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<sst xmlns="http://schemas.openxmlformats.org/spreadsheetml/2006/main" count="994" uniqueCount="84">
  <si>
    <t>MP</t>
  </si>
  <si>
    <t>MG</t>
  </si>
  <si>
    <t>P</t>
  </si>
  <si>
    <t>F</t>
  </si>
  <si>
    <t>G</t>
  </si>
  <si>
    <t>VG</t>
  </si>
  <si>
    <t>A1</t>
  </si>
  <si>
    <t>A2</t>
  </si>
  <si>
    <t>A3</t>
  </si>
  <si>
    <t>A4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</si>
  <si>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</si>
  <si>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</si>
  <si>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</si>
  <si>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</si>
  <si>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</si>
  <si>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</si>
  <si>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</si>
  <si>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</si>
  <si>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</si>
  <si>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</si>
  <si>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</si>
  <si>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</si>
  <si>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</si>
  <si>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</si>
  <si>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</si>
  <si>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</si>
  <si>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</si>
  <si>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</si>
  <si>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VP</t>
  </si>
  <si>
    <t>Aspire</t>
  </si>
  <si>
    <t>Sum</t>
  </si>
  <si>
    <t>sort 2-1</t>
  </si>
  <si>
    <t>sort 3-2</t>
  </si>
  <si>
    <t>sort 4-3</t>
  </si>
  <si>
    <t>sort as-4</t>
  </si>
  <si>
    <t>Itj</t>
  </si>
  <si>
    <t>Ntj</t>
  </si>
  <si>
    <t>Collection cost</t>
  </si>
  <si>
    <t>Processing/transportation cost</t>
  </si>
  <si>
    <t>Storage cost</t>
  </si>
  <si>
    <t>Waste reduction</t>
  </si>
  <si>
    <t>Carbon footprint</t>
  </si>
  <si>
    <t>Material recovery</t>
  </si>
  <si>
    <t>Regulatory compliance</t>
  </si>
  <si>
    <t>Ease of Regulatory Compliance</t>
  </si>
  <si>
    <t>Secure storage</t>
  </si>
  <si>
    <t>Counterfeit Prevention</t>
  </si>
  <si>
    <t>Return rate</t>
  </si>
  <si>
    <t>Continuity / reliability</t>
  </si>
  <si>
    <t>Adaptability to Product Types</t>
  </si>
  <si>
    <t>Traceability</t>
  </si>
  <si>
    <t>User accessibility</t>
  </si>
  <si>
    <t>Time flexibility</t>
  </si>
  <si>
    <t>Information systems integration</t>
  </si>
  <si>
    <t>Physical collection infrastructure</t>
  </si>
  <si>
    <t>SCORE VALUES</t>
  </si>
  <si>
    <t>AS</t>
  </si>
  <si>
    <t>rank</t>
  </si>
  <si>
    <t>Spi</t>
  </si>
  <si>
    <t>Sni</t>
  </si>
  <si>
    <t>NSPi</t>
  </si>
  <si>
    <t>NSNi</t>
  </si>
  <si>
    <t>aij values (PDA)</t>
  </si>
  <si>
    <t>bij values (NDA)</t>
  </si>
  <si>
    <t>Weight</t>
  </si>
  <si>
    <t>Step 1. Decision matrix for each expert</t>
  </si>
  <si>
    <t>µ values</t>
  </si>
  <si>
    <t>v values</t>
  </si>
  <si>
    <t>Expert Weights</t>
  </si>
  <si>
    <t>Step 2. Aggregation</t>
  </si>
  <si>
    <t>Step 3. Score values</t>
  </si>
  <si>
    <t>Step 4. Normalization</t>
  </si>
  <si>
    <t>Step 5. Sorting</t>
  </si>
  <si>
    <t>Step 6. Ordered distance differences</t>
  </si>
  <si>
    <t>Step 7. Indifference threshold</t>
  </si>
  <si>
    <t xml:space="preserve">Step 8. Significant ordered distances </t>
  </si>
  <si>
    <t>Step 9. Criteria weights</t>
  </si>
  <si>
    <r>
      <rPr>
        <b/>
        <sz val="16"/>
        <color theme="1"/>
        <rFont val="Arial"/>
        <family val="2"/>
        <charset val="162"/>
      </rPr>
      <t>π</t>
    </r>
    <r>
      <rPr>
        <b/>
        <sz val="16"/>
        <color theme="1"/>
        <rFont val="Arial Tur"/>
        <charset val="162"/>
      </rPr>
      <t xml:space="preserve"> values</t>
    </r>
  </si>
  <si>
    <t>weights</t>
  </si>
  <si>
    <t>Step 10. Average solutions</t>
  </si>
  <si>
    <t>Step 11. Distances</t>
  </si>
  <si>
    <t>Step 12</t>
  </si>
  <si>
    <t>Step 13</t>
  </si>
  <si>
    <t>Step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</si>
</sst>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charset val="162"/>
      <scheme val="minor"/>
    </font>
    <font>
      <b/>
      <sz val="16"/>
      <color theme="1"/>
      <name val="Arial Tur"/>
      <charset val="162"/>
    </font>
    <font>
      <sz val="11"/>
      <color theme="0"/>
      <name val="Calibri"/>
      <family val="2"/>
      <scheme val="minor"/>
    </font>
    <font>
      <b/>
      <sz val="16"/>
      <color theme="1"/>
      <name val="Arial"/>
      <family val="2"/>
      <charset val="162"/>
    </font>
    <font>
      <b/>
      <sz val="16"/>
      <color theme="1"/>
      <name val="Arial Tur"/>
      <family val="2"/>
      <charset val="16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/>
    <xf numFmtId="0" fontId="9" fillId="0" borderId="0" xfId="0" applyFont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5" fontId="0" fillId="0" borderId="10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0" borderId="2" xfId="0" applyBorder="1"/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9" xfId="0" applyBorder="1"/>
    <xf numFmtId="0" fontId="0" fillId="0" borderId="2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/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1" xfId="0" applyBorder="1"/>
    <xf numFmtId="0" fontId="10" fillId="3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justify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12" fillId="0" borderId="2" xfId="0" applyFont="1" applyBorder="1"/>
    <xf numFmtId="0" fontId="5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2" fillId="0" borderId="11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5" fontId="6" fillId="0" borderId="0" xfId="0" applyNumberFormat="1" applyFont="1" applyBorder="1" applyAlignment="1">
      <alignment horizontal="center" vertical="center"/>
    </xf>
    <xf numFmtId="165" fontId="6" fillId="0" borderId="1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6" fillId="0" borderId="11" xfId="0" applyNumberFormat="1" applyFont="1" applyBorder="1" applyAlignment="1">
      <alignment horizontal="center" vertical="center"/>
    </xf>
    <xf numFmtId="165" fontId="6" fillId="0" borderId="12" xfId="0" applyNumberFormat="1" applyFont="1" applyBorder="1" applyAlignment="1">
      <alignment horizontal="center" vertical="center"/>
    </xf>
    <xf numFmtId="165" fontId="7" fillId="0" borderId="0" xfId="0" applyNumberFormat="1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165" fontId="7" fillId="0" borderId="11" xfId="0" applyNumberFormat="1" applyFont="1" applyBorder="1" applyAlignment="1">
      <alignment horizontal="center" vertical="center"/>
    </xf>
    <xf numFmtId="165" fontId="7" fillId="0" borderId="1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6" fillId="0" borderId="13" xfId="0" applyNumberFormat="1" applyFont="1" applyBorder="1" applyAlignment="1">
      <alignment horizontal="center" vertical="center"/>
    </xf>
    <xf numFmtId="165" fontId="6" fillId="0" borderId="1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65" fontId="7" fillId="0" borderId="19" xfId="0" applyNumberFormat="1" applyFont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6" fillId="0" borderId="19" xfId="0" applyNumberFormat="1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16" fillId="3" borderId="0" xfId="0" applyFont="1" applyFill="1" applyAlignment="1">
      <alignment horizontal="center" vertical="center"/>
    </xf>
    <xf numFmtId="0" fontId="15" fillId="0" borderId="22" xfId="0" applyFont="1" applyFill="1" applyBorder="1" applyAlignment="1">
      <alignment horizontal="center" vertical="center"/>
    </xf>
    <xf numFmtId="165" fontId="6" fillId="0" borderId="17" xfId="0" applyNumberFormat="1" applyFont="1" applyFill="1" applyBorder="1" applyAlignment="1">
      <alignment horizontal="center" vertical="center"/>
    </xf>
    <xf numFmtId="165" fontId="6" fillId="0" borderId="23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308D7-B275-40E1-A60B-53ADFE849E92}">
  <dimension ref="B2:BS65"/>
  <sheetViews>
    <sheetView zoomScale="55" zoomScaleNormal="55" workbookViewId="0">
      <selection activeCell="B5" sqref="B5:B22"/>
    </sheetView>
  </sheetViews>
  <sheetFormatPr defaultRowHeight="14.4" x14ac:dyDescent="0.55000000000000004"/>
  <cols>
    <col min="2" max="2" width="13.05078125" bestFit="1" customWidth="1"/>
    <col min="3" max="30" width="9.1015625" style="1"/>
    <col min="32" max="36" width="9.1015625" style="1"/>
    <col min="43" max="43" width="9.1015625" style="1"/>
    <col min="54" max="71" width="9.20703125" style="1" customWidth="1"/>
  </cols>
  <sheetData>
    <row r="2" spans="2:71" ht="20.399999999999999" x14ac:dyDescent="0.75">
      <c r="B2" s="31" t="s">
        <v>65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F2" s="31" t="s">
        <v>69</v>
      </c>
      <c r="AG2" s="31"/>
      <c r="AH2" s="31"/>
      <c r="AI2" s="31"/>
      <c r="AJ2" s="31"/>
      <c r="AL2" s="31" t="s">
        <v>70</v>
      </c>
      <c r="AM2" s="31"/>
      <c r="AN2" s="31"/>
      <c r="AO2" s="31"/>
      <c r="AP2" s="31"/>
      <c r="AQ2" s="31"/>
      <c r="AR2" s="31"/>
      <c r="AT2" s="31" t="s">
        <v>71</v>
      </c>
      <c r="AU2" s="31"/>
      <c r="AV2" s="31"/>
      <c r="AW2" s="31"/>
      <c r="AX2" s="31"/>
      <c r="AY2" s="31"/>
      <c r="BA2" s="31" t="s">
        <v>72</v>
      </c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</row>
    <row r="3" spans="2:71" ht="20.7" thickBot="1" x14ac:dyDescent="0.8">
      <c r="AF3" s="33" t="s">
        <v>66</v>
      </c>
      <c r="AG3" s="32"/>
      <c r="AH3" s="32"/>
      <c r="AI3" s="32"/>
      <c r="AJ3" s="32"/>
    </row>
    <row r="4" spans="2:71" x14ac:dyDescent="0.55000000000000004">
      <c r="B4" s="30"/>
      <c r="C4" s="19" t="s">
        <v>6</v>
      </c>
      <c r="D4" s="19" t="s">
        <v>7</v>
      </c>
      <c r="E4" s="19" t="s">
        <v>8</v>
      </c>
      <c r="F4" s="19" t="s">
        <v>9</v>
      </c>
      <c r="G4" s="19" t="s">
        <v>6</v>
      </c>
      <c r="H4" s="19" t="s">
        <v>7</v>
      </c>
      <c r="I4" s="19" t="s">
        <v>8</v>
      </c>
      <c r="J4" s="19" t="s">
        <v>9</v>
      </c>
      <c r="K4" s="19" t="s">
        <v>6</v>
      </c>
      <c r="L4" s="19" t="s">
        <v>7</v>
      </c>
      <c r="M4" s="19" t="s">
        <v>8</v>
      </c>
      <c r="N4" s="19" t="s">
        <v>9</v>
      </c>
      <c r="O4" s="19" t="s">
        <v>6</v>
      </c>
      <c r="P4" s="19" t="s">
        <v>7</v>
      </c>
      <c r="Q4" s="19" t="s">
        <v>8</v>
      </c>
      <c r="R4" s="19" t="s">
        <v>9</v>
      </c>
      <c r="S4" s="19" t="s">
        <v>6</v>
      </c>
      <c r="T4" s="19" t="s">
        <v>7</v>
      </c>
      <c r="U4" s="19" t="s">
        <v>8</v>
      </c>
      <c r="V4" s="19" t="s">
        <v>9</v>
      </c>
      <c r="W4" s="19" t="s">
        <v>6</v>
      </c>
      <c r="X4" s="19" t="s">
        <v>7</v>
      </c>
      <c r="Y4" s="19" t="s">
        <v>8</v>
      </c>
      <c r="Z4" s="19" t="s">
        <v>9</v>
      </c>
      <c r="AA4" s="19" t="s">
        <v>6</v>
      </c>
      <c r="AB4" s="19" t="s">
        <v>7</v>
      </c>
      <c r="AC4" s="19" t="s">
        <v>8</v>
      </c>
      <c r="AD4" s="20" t="s">
        <v>9</v>
      </c>
      <c r="AF4" s="34"/>
      <c r="AG4" s="19" t="s">
        <v>6</v>
      </c>
      <c r="AH4" s="19" t="s">
        <v>7</v>
      </c>
      <c r="AI4" s="19" t="s">
        <v>8</v>
      </c>
      <c r="AJ4" s="20" t="s">
        <v>9</v>
      </c>
      <c r="AL4" s="18"/>
      <c r="AM4" s="19" t="s">
        <v>6</v>
      </c>
      <c r="AN4" s="19" t="s">
        <v>7</v>
      </c>
      <c r="AO4" s="19" t="s">
        <v>8</v>
      </c>
      <c r="AP4" s="19" t="s">
        <v>9</v>
      </c>
      <c r="AQ4" s="19" t="s">
        <v>29</v>
      </c>
      <c r="AR4" s="20" t="s">
        <v>30</v>
      </c>
      <c r="AT4" s="45"/>
      <c r="AU4" s="46" t="s">
        <v>6</v>
      </c>
      <c r="AV4" s="46" t="s">
        <v>7</v>
      </c>
      <c r="AW4" s="46" t="s">
        <v>8</v>
      </c>
      <c r="AX4" s="46" t="s">
        <v>9</v>
      </c>
      <c r="AY4" s="47" t="s">
        <v>29</v>
      </c>
      <c r="BA4" s="49" cm="1">
        <f t="array" ref="BA4:BS9">TRANSPOSE(AT4:AY22)</f>
        <v>0</v>
      </c>
      <c r="BB4" s="19" t="str">
        <v>C1</v>
      </c>
      <c r="BC4" s="19" t="str">
        <v>C2</v>
      </c>
      <c r="BD4" s="19" t="str">
        <v>C3</v>
      </c>
      <c r="BE4" s="19" t="str">
        <v>C4</v>
      </c>
      <c r="BF4" s="19" t="str">
        <v>C5</v>
      </c>
      <c r="BG4" s="19" t="str">
        <v>C6</v>
      </c>
      <c r="BH4" s="19" t="str">
        <v>C7</v>
      </c>
      <c r="BI4" s="19" t="str">
        <v>C8</v>
      </c>
      <c r="BJ4" s="19" t="str">
        <v>C9</v>
      </c>
      <c r="BK4" s="19" t="str">
        <v>C10</v>
      </c>
      <c r="BL4" s="19" t="str">
        <v>C11</v>
      </c>
      <c r="BM4" s="19" t="str">
        <v>C12</v>
      </c>
      <c r="BN4" s="19" t="str">
        <v>C13</v>
      </c>
      <c r="BO4" s="19" t="str">
        <v>C14</v>
      </c>
      <c r="BP4" s="19" t="str">
        <v>C15</v>
      </c>
      <c r="BQ4" s="19" t="str">
        <v>C16</v>
      </c>
      <c r="BR4" s="19" t="str">
        <v>C17</v>
      </c>
      <c r="BS4" s="20" t="str">
        <v>C18</v>
      </c>
    </row>
    <row r="5" spans="2:71" x14ac:dyDescent="0.55000000000000004">
      <c r="B5" s="21" t="s">
        <v>10</v>
      </c>
      <c r="C5" s="9" t="s">
        <v>0</v>
      </c>
      <c r="D5" s="10" t="s">
        <v>1</v>
      </c>
      <c r="E5" s="10" t="s">
        <v>2</v>
      </c>
      <c r="F5" s="11" t="s">
        <v>0</v>
      </c>
      <c r="G5" s="9" t="s">
        <v>0</v>
      </c>
      <c r="H5" s="10" t="s">
        <v>3</v>
      </c>
      <c r="I5" s="10" t="s">
        <v>4</v>
      </c>
      <c r="J5" s="11" t="s">
        <v>2</v>
      </c>
      <c r="K5" s="9" t="s">
        <v>3</v>
      </c>
      <c r="L5" s="10" t="s">
        <v>1</v>
      </c>
      <c r="M5" s="10" t="s">
        <v>4</v>
      </c>
      <c r="N5" s="11" t="s">
        <v>4</v>
      </c>
      <c r="O5" s="9" t="s">
        <v>2</v>
      </c>
      <c r="P5" s="10" t="s">
        <v>1</v>
      </c>
      <c r="Q5" s="10" t="s">
        <v>1</v>
      </c>
      <c r="R5" s="11" t="s">
        <v>2</v>
      </c>
      <c r="S5" s="9" t="s">
        <v>2</v>
      </c>
      <c r="T5" s="10" t="s">
        <v>1</v>
      </c>
      <c r="U5" s="10" t="s">
        <v>4</v>
      </c>
      <c r="V5" s="11" t="s">
        <v>5</v>
      </c>
      <c r="W5" s="9" t="s">
        <v>4</v>
      </c>
      <c r="X5" s="10" t="s">
        <v>4</v>
      </c>
      <c r="Y5" s="10" t="s">
        <v>5</v>
      </c>
      <c r="Z5" s="11" t="s">
        <v>0</v>
      </c>
      <c r="AA5" s="9" t="s">
        <v>1</v>
      </c>
      <c r="AB5" s="10" t="s">
        <v>0</v>
      </c>
      <c r="AC5" s="10" t="s">
        <v>4</v>
      </c>
      <c r="AD5" s="22" t="s">
        <v>3</v>
      </c>
      <c r="AF5" s="35" t="s">
        <v>10</v>
      </c>
      <c r="AG5" s="36">
        <f>SQRT(1-((((1-C27^2))^$C$25)*(((1-G27^2))^$G$25)*(((1-K27^2))^$K$25)*(((1-O27^2))^$O$25)*(((1-S27^2))^$S$25)*(((1-W27^2))^$W$25)*(((1-AA27^2))^$AA$25)))</f>
        <v>0.47569670116503393</v>
      </c>
      <c r="AH5" s="36">
        <f>SQRT(1-((((1-D27^2))^$C$25)*(((1-H27^2))^$G$25)*(((1-L27^2))^$K$25)*(((1-P27^2))^$O$25)*(((1-T27^2))^$S$25)*(((1-X27^2))^$W$25)*(((1-AB27^2))^$AA$25)))</f>
        <v>0.57546269311313236</v>
      </c>
      <c r="AI5" s="36">
        <f>SQRT(1-((((1-E27^2))^$C$25)*(((1-I27^2))^$G$25)*(((1-M27^2))^$K$25)*(((1-Q27^2))^$O$25)*(((1-U27^2))^$S$25)*(((1-Y27^2))^$W$25)*(((1-AC27^2))^$AA$25)))</f>
        <v>0.67493136618584193</v>
      </c>
      <c r="AJ5" s="37">
        <f>SQRT(1-((((1-F27^2))^$C$25)*(((1-J27^2))^$G$25)*(((1-N27^2))^$K$25)*(((1-R27^2))^$O$25)*(((1-V27^2))^$S$25)*(((1-Z27^2))^$W$25)*(((1-AD27^2))^$AA$25)))</f>
        <v>0.53604023001519074</v>
      </c>
      <c r="AL5" s="35" t="s">
        <v>10</v>
      </c>
      <c r="AM5" s="36">
        <f>(1+AG5^2-AG27^2)/2</f>
        <v>0.40540554082335933</v>
      </c>
      <c r="AN5" s="36">
        <f>(1+AH5^2-AH27^2)/2</f>
        <v>0.52895706349618554</v>
      </c>
      <c r="AO5" s="36">
        <f>(1+AI5^2-AI27^2)/2</f>
        <v>0.64414112393688805</v>
      </c>
      <c r="AP5" s="36">
        <f>(1+AJ5^2-AJ27^2)/2</f>
        <v>0.46414211040090747</v>
      </c>
      <c r="AQ5" s="23">
        <v>1</v>
      </c>
      <c r="AR5" s="14">
        <f>SUM(AM5:AP5)</f>
        <v>2.0426458386573403</v>
      </c>
      <c r="AT5" s="48" t="s">
        <v>10</v>
      </c>
      <c r="AU5" s="36">
        <f>AM5/SUM($AM5:$AP5)</f>
        <v>0.19847079368875717</v>
      </c>
      <c r="AV5" s="36">
        <f>AN5/SUM($AM5:$AP5)</f>
        <v>0.25895681644150137</v>
      </c>
      <c r="AW5" s="36">
        <f>AO5/SUM($AM5:$AP5)</f>
        <v>0.31534645494898472</v>
      </c>
      <c r="AX5" s="36">
        <f>AP5/SUM($AM5:$AP5)</f>
        <v>0.22722593492075679</v>
      </c>
      <c r="AY5" s="37">
        <f>AQ5/SUM($AM5:$AP5)</f>
        <v>0.48956112757036435</v>
      </c>
      <c r="BA5" s="21" t="str">
        <v>A1</v>
      </c>
      <c r="BB5" s="36">
        <v>0.19847079368875717</v>
      </c>
      <c r="BC5" s="36">
        <v>0.20716831683069289</v>
      </c>
      <c r="BD5" s="36">
        <v>0.25603584271846552</v>
      </c>
      <c r="BE5" s="36">
        <v>0.2499710544860976</v>
      </c>
      <c r="BF5" s="36">
        <v>0.22380877367889926</v>
      </c>
      <c r="BG5" s="36">
        <v>0.25490938912093331</v>
      </c>
      <c r="BH5" s="36">
        <v>0.24108696853985692</v>
      </c>
      <c r="BI5" s="36">
        <v>0.2174703985712618</v>
      </c>
      <c r="BJ5" s="36">
        <v>0.24675230764067591</v>
      </c>
      <c r="BK5" s="36">
        <v>0.20445141540687783</v>
      </c>
      <c r="BL5" s="36">
        <v>0.24157720301179386</v>
      </c>
      <c r="BM5" s="36">
        <v>0.25277684270983469</v>
      </c>
      <c r="BN5" s="36">
        <v>0.23940179259678207</v>
      </c>
      <c r="BO5" s="36">
        <v>0.24123819181660691</v>
      </c>
      <c r="BP5" s="36">
        <v>0.24455899440767279</v>
      </c>
      <c r="BQ5" s="36">
        <v>0.26804314192092221</v>
      </c>
      <c r="BR5" s="36">
        <v>0.26081729898215794</v>
      </c>
      <c r="BS5" s="37">
        <v>0.23147130319007631</v>
      </c>
    </row>
    <row r="6" spans="2:71" x14ac:dyDescent="0.55000000000000004">
      <c r="B6" s="21" t="s">
        <v>11</v>
      </c>
      <c r="C6" s="12" t="s">
        <v>0</v>
      </c>
      <c r="D6" s="23" t="s">
        <v>1</v>
      </c>
      <c r="E6" s="23" t="s">
        <v>2</v>
      </c>
      <c r="F6" s="13" t="s">
        <v>0</v>
      </c>
      <c r="G6" s="12" t="s">
        <v>0</v>
      </c>
      <c r="H6" s="23" t="s">
        <v>1</v>
      </c>
      <c r="I6" s="23" t="s">
        <v>2</v>
      </c>
      <c r="J6" s="13" t="s">
        <v>0</v>
      </c>
      <c r="K6" s="12" t="s">
        <v>3</v>
      </c>
      <c r="L6" s="23" t="s">
        <v>1</v>
      </c>
      <c r="M6" s="23" t="s">
        <v>1</v>
      </c>
      <c r="N6" s="13" t="s">
        <v>3</v>
      </c>
      <c r="O6" s="12" t="s">
        <v>2</v>
      </c>
      <c r="P6" s="23" t="s">
        <v>1</v>
      </c>
      <c r="Q6" s="23" t="s">
        <v>1</v>
      </c>
      <c r="R6" s="13" t="s">
        <v>2</v>
      </c>
      <c r="S6" s="12" t="s">
        <v>28</v>
      </c>
      <c r="T6" s="23" t="s">
        <v>4</v>
      </c>
      <c r="U6" s="23" t="s">
        <v>1</v>
      </c>
      <c r="V6" s="13" t="s">
        <v>0</v>
      </c>
      <c r="W6" s="12" t="s">
        <v>0</v>
      </c>
      <c r="X6" s="23" t="s">
        <v>3</v>
      </c>
      <c r="Y6" s="23" t="s">
        <v>5</v>
      </c>
      <c r="Z6" s="13" t="s">
        <v>0</v>
      </c>
      <c r="AA6" s="12" t="s">
        <v>4</v>
      </c>
      <c r="AB6" s="23" t="s">
        <v>0</v>
      </c>
      <c r="AC6" s="23" t="s">
        <v>1</v>
      </c>
      <c r="AD6" s="24" t="s">
        <v>3</v>
      </c>
      <c r="AF6" s="35" t="s">
        <v>11</v>
      </c>
      <c r="AG6" s="36">
        <f>SQRT(1-((((1-C28^2))^$C$25)*(((1-G28^2))^$G$25)*(((1-K28^2))^$K$25)*(((1-O28^2))^$O$25)*(((1-S28^2))^$S$25)*(((1-W28^2))^$W$25)*(((1-AA28^2))^$AA$25)))</f>
        <v>0.42941372872893546</v>
      </c>
      <c r="AH6" s="36">
        <f>SQRT(1-((((1-D28^2))^$C$25)*(((1-H28^2))^$G$25)*(((1-L28^2))^$K$25)*(((1-P28^2))^$O$25)*(((1-T28^2))^$S$25)*(((1-X28^2))^$W$25)*(((1-AB28^2))^$AA$25)))</f>
        <v>0.57546269311313236</v>
      </c>
      <c r="AI6" s="36">
        <f>SQRT(1-((((1-E28^2))^$C$25)*(((1-I28^2))^$G$25)*(((1-M28^2))^$K$25)*(((1-Q28^2))^$O$25)*(((1-U28^2))^$S$25)*(((1-Y28^2))^$W$25)*(((1-AC28^2))^$AA$25)))</f>
        <v>0.59002938099545055</v>
      </c>
      <c r="AJ6" s="37">
        <f>SQRT(1-((((1-F28^2))^$C$25)*(((1-J28^2))^$G$25)*(((1-N28^2))^$K$25)*(((1-R28^2))^$O$25)*(((1-V28^2))^$S$25)*(((1-Z28^2))^$W$25)*(((1-AD28^2))^$AA$25)))</f>
        <v>0.37642404601252843</v>
      </c>
      <c r="AL6" s="35" t="s">
        <v>11</v>
      </c>
      <c r="AM6" s="36">
        <f>(1+AG6^2-AG28^2)/2</f>
        <v>0.35510412689895843</v>
      </c>
      <c r="AN6" s="36">
        <f>(1+AH6^2-AH28^2)/2</f>
        <v>0.52895706349618554</v>
      </c>
      <c r="AO6" s="36">
        <f>(1+AI6^2-AI28^2)/2</f>
        <v>0.52777898103690513</v>
      </c>
      <c r="AP6" s="36">
        <f>(1+AJ6^2-AJ28^2)/2</f>
        <v>0.30224493738874209</v>
      </c>
      <c r="AQ6" s="23">
        <v>1</v>
      </c>
      <c r="AR6" s="14">
        <f t="shared" ref="AR6:AR22" si="0">SUM(AM6:AP6)</f>
        <v>1.7140851088207913</v>
      </c>
      <c r="AT6" s="48" t="s">
        <v>11</v>
      </c>
      <c r="AU6" s="36">
        <f>AM6/SUM($AM6:$AP6)</f>
        <v>0.20716831683069289</v>
      </c>
      <c r="AV6" s="36">
        <f>AN6/SUM($AM6:$AP6)</f>
        <v>0.30859439871109012</v>
      </c>
      <c r="AW6" s="36">
        <f>AO6/SUM($AM6:$AP6)</f>
        <v>0.30790710351599276</v>
      </c>
      <c r="AX6" s="36">
        <f>AP6/SUM($AM6:$AP6)</f>
        <v>0.17633018094222414</v>
      </c>
      <c r="AY6" s="37">
        <f>AQ6/SUM($AM6:$AP6)</f>
        <v>0.58340160290404264</v>
      </c>
      <c r="BA6" s="21" t="str">
        <v>A2</v>
      </c>
      <c r="BB6" s="36">
        <v>0.25895681644150137</v>
      </c>
      <c r="BC6" s="36">
        <v>0.30859439871109012</v>
      </c>
      <c r="BD6" s="36">
        <v>0.27385603349362664</v>
      </c>
      <c r="BE6" s="36">
        <v>0.26526930244435271</v>
      </c>
      <c r="BF6" s="36">
        <v>0.23682721261737796</v>
      </c>
      <c r="BG6" s="36">
        <v>0.27460845942941509</v>
      </c>
      <c r="BH6" s="36">
        <v>0.24801040982607672</v>
      </c>
      <c r="BI6" s="36">
        <v>0.23558870112810273</v>
      </c>
      <c r="BJ6" s="36">
        <v>0.26582100916538814</v>
      </c>
      <c r="BK6" s="36">
        <v>0.29181491255080605</v>
      </c>
      <c r="BL6" s="36">
        <v>0.21044073307228275</v>
      </c>
      <c r="BM6" s="36">
        <v>0.24794954682337716</v>
      </c>
      <c r="BN6" s="36">
        <v>0.28041771824602907</v>
      </c>
      <c r="BO6" s="36">
        <v>0.27387630224844212</v>
      </c>
      <c r="BP6" s="36">
        <v>0.21491768729595151</v>
      </c>
      <c r="BQ6" s="36">
        <v>0.23593527260084865</v>
      </c>
      <c r="BR6" s="36">
        <v>0.28313113754997876</v>
      </c>
      <c r="BS6" s="37">
        <v>0.21745696715671134</v>
      </c>
    </row>
    <row r="7" spans="2:71" x14ac:dyDescent="0.55000000000000004">
      <c r="B7" s="21" t="s">
        <v>12</v>
      </c>
      <c r="C7" s="12" t="s">
        <v>0</v>
      </c>
      <c r="D7" s="23" t="s">
        <v>1</v>
      </c>
      <c r="E7" s="23" t="s">
        <v>3</v>
      </c>
      <c r="F7" s="13" t="s">
        <v>0</v>
      </c>
      <c r="G7" s="12" t="s">
        <v>2</v>
      </c>
      <c r="H7" s="23" t="s">
        <v>3</v>
      </c>
      <c r="I7" s="23" t="s">
        <v>4</v>
      </c>
      <c r="J7" s="13" t="s">
        <v>1</v>
      </c>
      <c r="K7" s="12" t="s">
        <v>4</v>
      </c>
      <c r="L7" s="23" t="s">
        <v>1</v>
      </c>
      <c r="M7" s="23" t="s">
        <v>3</v>
      </c>
      <c r="N7" s="13" t="s">
        <v>4</v>
      </c>
      <c r="O7" s="12" t="s">
        <v>2</v>
      </c>
      <c r="P7" s="23" t="s">
        <v>1</v>
      </c>
      <c r="Q7" s="23" t="s">
        <v>1</v>
      </c>
      <c r="R7" s="13" t="s">
        <v>2</v>
      </c>
      <c r="S7" s="12" t="s">
        <v>4</v>
      </c>
      <c r="T7" s="23" t="s">
        <v>1</v>
      </c>
      <c r="U7" s="23" t="s">
        <v>3</v>
      </c>
      <c r="V7" s="13" t="s">
        <v>5</v>
      </c>
      <c r="W7" s="12" t="s">
        <v>4</v>
      </c>
      <c r="X7" s="23" t="s">
        <v>5</v>
      </c>
      <c r="Y7" s="23" t="s">
        <v>0</v>
      </c>
      <c r="Z7" s="13" t="s">
        <v>2</v>
      </c>
      <c r="AA7" s="12" t="s">
        <v>1</v>
      </c>
      <c r="AB7" s="23" t="s">
        <v>3</v>
      </c>
      <c r="AC7" s="23" t="s">
        <v>2</v>
      </c>
      <c r="AD7" s="24" t="s">
        <v>1</v>
      </c>
      <c r="AF7" s="35" t="s">
        <v>12</v>
      </c>
      <c r="AG7" s="36">
        <f>SQRT(1-((((1-C29^2))^$C$25)*(((1-G29^2))^$G$25)*(((1-K29^2))^$K$25)*(((1-O29^2))^$O$25)*(((1-S29^2))^$S$25)*(((1-W29^2))^$W$25)*(((1-AA29^2))^$AA$25)))</f>
        <v>0.5729760487111254</v>
      </c>
      <c r="AH7" s="36">
        <f>SQRT(1-((((1-D29^2))^$C$25)*(((1-H29^2))^$G$25)*(((1-L29^2))^$K$25)*(((1-P29^2))^$O$25)*(((1-T29^2))^$S$25)*(((1-X29^2))^$W$25)*(((1-AB29^2))^$AA$25)))</f>
        <v>0.61012687612226779</v>
      </c>
      <c r="AI7" s="36">
        <f>SQRT(1-((((1-E29^2))^$C$25)*(((1-I29^2))^$G$25)*(((1-M29^2))^$K$25)*(((1-Q29^2))^$O$25)*(((1-U29^2))^$S$25)*(((1-Y29^2))^$W$25)*(((1-AC29^2))^$AA$25)))</f>
        <v>0.50103391104919026</v>
      </c>
      <c r="AJ7" s="37">
        <f>SQRT(1-((((1-F29^2))^$C$25)*(((1-J29^2))^$G$25)*(((1-N29^2))^$K$25)*(((1-R29^2))^$O$25)*(((1-V29^2))^$S$25)*(((1-Z29^2))^$W$25)*(((1-AD29^2))^$AA$25)))</f>
        <v>0.58295460505886709</v>
      </c>
      <c r="AL7" s="35" t="s">
        <v>12</v>
      </c>
      <c r="AM7" s="36">
        <f>(1+AG7^2-AG29^2)/2</f>
        <v>0.52414892099234311</v>
      </c>
      <c r="AN7" s="36">
        <f>(1+AH7^2-AH29^2)/2</f>
        <v>0.56062988267140401</v>
      </c>
      <c r="AO7" s="36">
        <f>(1+AI7^2-AI29^2)/2</f>
        <v>0.44081515834448126</v>
      </c>
      <c r="AP7" s="36">
        <f>(1+AJ7^2-AJ29^2)/2</f>
        <v>0.5215761350656104</v>
      </c>
      <c r="AQ7" s="23">
        <v>1</v>
      </c>
      <c r="AR7" s="14">
        <f t="shared" si="0"/>
        <v>2.0471700970738387</v>
      </c>
      <c r="AT7" s="48" t="s">
        <v>12</v>
      </c>
      <c r="AU7" s="36">
        <f>AM7/SUM($AM7:$AP7)</f>
        <v>0.25603584271846552</v>
      </c>
      <c r="AV7" s="36">
        <f>AN7/SUM($AM7:$AP7)</f>
        <v>0.27385603349362664</v>
      </c>
      <c r="AW7" s="36">
        <f>AO7/SUM($AM7:$AP7)</f>
        <v>0.21532903346652471</v>
      </c>
      <c r="AX7" s="36">
        <f>AP7/SUM($AM7:$AP7)</f>
        <v>0.25477909032138324</v>
      </c>
      <c r="AY7" s="37">
        <f>AQ7/SUM($AM7:$AP7)</f>
        <v>0.48847919448870852</v>
      </c>
      <c r="BA7" s="21" t="str">
        <v>A3</v>
      </c>
      <c r="BB7" s="36">
        <v>0.31534645494898472</v>
      </c>
      <c r="BC7" s="36">
        <v>0.30790710351599276</v>
      </c>
      <c r="BD7" s="36">
        <v>0.21532903346652471</v>
      </c>
      <c r="BE7" s="36">
        <v>0.25108001515344497</v>
      </c>
      <c r="BF7" s="36">
        <v>0.2960215347841571</v>
      </c>
      <c r="BG7" s="36">
        <v>0.23060037631647989</v>
      </c>
      <c r="BH7" s="36">
        <v>0.22329699369286188</v>
      </c>
      <c r="BI7" s="36">
        <v>0.2435036027210814</v>
      </c>
      <c r="BJ7" s="36">
        <v>0.2232211814367685</v>
      </c>
      <c r="BK7" s="36">
        <v>0.23873247137819398</v>
      </c>
      <c r="BL7" s="36">
        <v>0.30640486090412972</v>
      </c>
      <c r="BM7" s="36">
        <v>0.2526302014965327</v>
      </c>
      <c r="BN7" s="36">
        <v>0.24887835529789781</v>
      </c>
      <c r="BO7" s="36">
        <v>0.21612073627244371</v>
      </c>
      <c r="BP7" s="36">
        <v>0.32384192311566923</v>
      </c>
      <c r="BQ7" s="36">
        <v>0.28374210141110806</v>
      </c>
      <c r="BR7" s="36">
        <v>0.229825633111331</v>
      </c>
      <c r="BS7" s="37">
        <v>0.2726190054454371</v>
      </c>
    </row>
    <row r="8" spans="2:71" x14ac:dyDescent="0.55000000000000004">
      <c r="B8" s="21" t="s">
        <v>13</v>
      </c>
      <c r="C8" s="12" t="s">
        <v>4</v>
      </c>
      <c r="D8" s="23" t="s">
        <v>1</v>
      </c>
      <c r="E8" s="23" t="s">
        <v>4</v>
      </c>
      <c r="F8" s="13" t="s">
        <v>4</v>
      </c>
      <c r="G8" s="12" t="s">
        <v>1</v>
      </c>
      <c r="H8" s="23" t="s">
        <v>3</v>
      </c>
      <c r="I8" s="23" t="s">
        <v>4</v>
      </c>
      <c r="J8" s="13" t="s">
        <v>0</v>
      </c>
      <c r="K8" s="12" t="s">
        <v>1</v>
      </c>
      <c r="L8" s="23" t="s">
        <v>4</v>
      </c>
      <c r="M8" s="23" t="s">
        <v>1</v>
      </c>
      <c r="N8" s="13" t="s">
        <v>3</v>
      </c>
      <c r="O8" s="12" t="s">
        <v>4</v>
      </c>
      <c r="P8" s="23" t="s">
        <v>4</v>
      </c>
      <c r="Q8" s="23" t="s">
        <v>4</v>
      </c>
      <c r="R8" s="13" t="s">
        <v>4</v>
      </c>
      <c r="S8" s="12" t="s">
        <v>1</v>
      </c>
      <c r="T8" s="23" t="s">
        <v>4</v>
      </c>
      <c r="U8" s="23" t="s">
        <v>1</v>
      </c>
      <c r="V8" s="13" t="s">
        <v>3</v>
      </c>
      <c r="W8" s="12" t="s">
        <v>1</v>
      </c>
      <c r="X8" s="23" t="s">
        <v>4</v>
      </c>
      <c r="Y8" s="23" t="s">
        <v>4</v>
      </c>
      <c r="Z8" s="13" t="s">
        <v>1</v>
      </c>
      <c r="AA8" s="12" t="s">
        <v>4</v>
      </c>
      <c r="AB8" s="23" t="s">
        <v>5</v>
      </c>
      <c r="AC8" s="23" t="s">
        <v>3</v>
      </c>
      <c r="AD8" s="24" t="s">
        <v>5</v>
      </c>
      <c r="AF8" s="35" t="s">
        <v>13</v>
      </c>
      <c r="AG8" s="36">
        <f>SQRT(1-((((1-C30^2))^$C$25)*(((1-G30^2))^$G$25)*(((1-K30^2))^$K$25)*(((1-O30^2))^$O$25)*(((1-S30^2))^$S$25)*(((1-W30^2))^$W$25)*(((1-AA30^2))^$AA$25)))</f>
        <v>0.64756805231000225</v>
      </c>
      <c r="AH8" s="36">
        <f>SQRT(1-((((1-D30^2))^$C$25)*(((1-H30^2))^$G$25)*(((1-L30^2))^$K$25)*(((1-P30^2))^$O$25)*(((1-T30^2))^$S$25)*(((1-X30^2))^$W$25)*(((1-AB30^2))^$AA$25)))</f>
        <v>0.68242245914074351</v>
      </c>
      <c r="AI8" s="36">
        <f>SQRT(1-((((1-E30^2))^$C$25)*(((1-I30^2))^$G$25)*(((1-M30^2))^$K$25)*(((1-Q30^2))^$O$25)*(((1-U30^2))^$S$25)*(((1-Y30^2))^$W$25)*(((1-AC30^2))^$AA$25)))</f>
        <v>0.64801880892912245</v>
      </c>
      <c r="AJ8" s="37">
        <f>SQRT(1-((((1-F30^2))^$C$25)*(((1-J30^2))^$G$25)*(((1-N30^2))^$K$25)*(((1-R30^2))^$O$25)*(((1-V30^2))^$S$25)*(((1-Z30^2))^$W$25)*(((1-AD30^2))^$AA$25)))</f>
        <v>0.62012390986536492</v>
      </c>
      <c r="AL8" s="35" t="s">
        <v>13</v>
      </c>
      <c r="AM8" s="36">
        <f>(1+AG8^2-AG30^2)/2</f>
        <v>0.61759821372391521</v>
      </c>
      <c r="AN8" s="36">
        <f>(1+AH8^2-AH30^2)/2</f>
        <v>0.65539527239355955</v>
      </c>
      <c r="AO8" s="36">
        <f>(1+AI8^2-AI30^2)/2</f>
        <v>0.62033809946249341</v>
      </c>
      <c r="AP8" s="36">
        <f>(1+AJ8^2-AJ30^2)/2</f>
        <v>0.57734732959924318</v>
      </c>
      <c r="AQ8" s="23">
        <v>1</v>
      </c>
      <c r="AR8" s="14">
        <f t="shared" si="0"/>
        <v>2.4706789151792115</v>
      </c>
      <c r="AT8" s="48" t="s">
        <v>13</v>
      </c>
      <c r="AU8" s="36">
        <f>AM8/SUM($AM8:$AP8)</f>
        <v>0.2499710544860976</v>
      </c>
      <c r="AV8" s="36">
        <f>AN8/SUM($AM8:$AP8)</f>
        <v>0.26526930244435271</v>
      </c>
      <c r="AW8" s="36">
        <f>AO8/SUM($AM8:$AP8)</f>
        <v>0.25108001515344497</v>
      </c>
      <c r="AX8" s="36">
        <f>AP8/SUM($AM8:$AP8)</f>
        <v>0.23367962791610464</v>
      </c>
      <c r="AY8" s="37">
        <f>AQ8/SUM($AM8:$AP8)</f>
        <v>0.40474704902213676</v>
      </c>
      <c r="BA8" s="21" t="str">
        <v>A4</v>
      </c>
      <c r="BB8" s="36">
        <v>0.22722593492075679</v>
      </c>
      <c r="BC8" s="36">
        <v>0.17633018094222414</v>
      </c>
      <c r="BD8" s="36">
        <v>0.25477909032138324</v>
      </c>
      <c r="BE8" s="36">
        <v>0.23367962791610464</v>
      </c>
      <c r="BF8" s="36">
        <v>0.24334247891956567</v>
      </c>
      <c r="BG8" s="36">
        <v>0.23988177513317163</v>
      </c>
      <c r="BH8" s="36">
        <v>0.28760562794120453</v>
      </c>
      <c r="BI8" s="36">
        <v>0.30343729757955407</v>
      </c>
      <c r="BJ8" s="36">
        <v>0.26420550175716734</v>
      </c>
      <c r="BK8" s="36">
        <v>0.26500120066412208</v>
      </c>
      <c r="BL8" s="36">
        <v>0.24157720301179386</v>
      </c>
      <c r="BM8" s="36">
        <v>0.24664340897025544</v>
      </c>
      <c r="BN8" s="36">
        <v>0.23130213385929119</v>
      </c>
      <c r="BO8" s="36">
        <v>0.26876476966250734</v>
      </c>
      <c r="BP8" s="36">
        <v>0.21668139518070648</v>
      </c>
      <c r="BQ8" s="36">
        <v>0.21227948406712108</v>
      </c>
      <c r="BR8" s="36">
        <v>0.2262259303565323</v>
      </c>
      <c r="BS8" s="37">
        <v>0.27845272420777523</v>
      </c>
    </row>
    <row r="9" spans="2:71" x14ac:dyDescent="0.55000000000000004">
      <c r="B9" s="21" t="s">
        <v>14</v>
      </c>
      <c r="C9" s="12" t="s">
        <v>0</v>
      </c>
      <c r="D9" s="23" t="s">
        <v>1</v>
      </c>
      <c r="E9" s="23" t="s">
        <v>4</v>
      </c>
      <c r="F9" s="13" t="s">
        <v>0</v>
      </c>
      <c r="G9" s="12" t="s">
        <v>4</v>
      </c>
      <c r="H9" s="23" t="s">
        <v>1</v>
      </c>
      <c r="I9" s="23" t="s">
        <v>0</v>
      </c>
      <c r="J9" s="13" t="s">
        <v>4</v>
      </c>
      <c r="K9" s="12" t="s">
        <v>0</v>
      </c>
      <c r="L9" s="23" t="s">
        <v>1</v>
      </c>
      <c r="M9" s="23" t="s">
        <v>4</v>
      </c>
      <c r="N9" s="13" t="s">
        <v>3</v>
      </c>
      <c r="O9" s="12" t="s">
        <v>4</v>
      </c>
      <c r="P9" s="23" t="s">
        <v>4</v>
      </c>
      <c r="Q9" s="23" t="s">
        <v>4</v>
      </c>
      <c r="R9" s="13" t="s">
        <v>4</v>
      </c>
      <c r="S9" s="12" t="s">
        <v>0</v>
      </c>
      <c r="T9" s="23" t="s">
        <v>1</v>
      </c>
      <c r="U9" s="23" t="s">
        <v>4</v>
      </c>
      <c r="V9" s="13" t="s">
        <v>1</v>
      </c>
      <c r="W9" s="12" t="s">
        <v>3</v>
      </c>
      <c r="X9" s="23" t="s">
        <v>0</v>
      </c>
      <c r="Y9" s="23" t="s">
        <v>4</v>
      </c>
      <c r="Z9" s="13" t="s">
        <v>1</v>
      </c>
      <c r="AA9" s="12" t="s">
        <v>1</v>
      </c>
      <c r="AB9" s="23" t="s">
        <v>0</v>
      </c>
      <c r="AC9" s="23" t="s">
        <v>4</v>
      </c>
      <c r="AD9" s="24" t="s">
        <v>3</v>
      </c>
      <c r="AF9" s="35" t="s">
        <v>14</v>
      </c>
      <c r="AG9" s="36">
        <f>SQRT(1-((((1-C31^2))^$C$25)*(((1-G31^2))^$G$25)*(((1-K31^2))^$K$25)*(((1-O31^2))^$O$25)*(((1-S31^2))^$S$25)*(((1-W31^2))^$W$25)*(((1-AA31^2))^$AA$25)))</f>
        <v>0.53981816021414919</v>
      </c>
      <c r="AH9" s="36">
        <f>SQRT(1-((((1-D31^2))^$C$25)*(((1-H31^2))^$G$25)*(((1-L31^2))^$K$25)*(((1-P31^2))^$O$25)*(((1-T31^2))^$S$25)*(((1-X31^2))^$W$25)*(((1-AB31^2))^$AA$25)))</f>
        <v>0.56741575873427497</v>
      </c>
      <c r="AI9" s="36">
        <f>SQRT(1-((((1-E31^2))^$C$25)*(((1-I31^2))^$G$25)*(((1-M31^2))^$K$25)*(((1-Q31^2))^$O$25)*(((1-U31^2))^$S$25)*(((1-Y31^2))^$W$25)*(((1-AC31^2))^$AA$25)))</f>
        <v>0.66999251812449656</v>
      </c>
      <c r="AJ9" s="37">
        <f>SQRT(1-((((1-F31^2))^$C$25)*(((1-J31^2))^$G$25)*(((1-N31^2))^$K$25)*(((1-R31^2))^$O$25)*(((1-V31^2))^$S$25)*(((1-Z31^2))^$W$25)*(((1-AD31^2))^$AA$25)))</f>
        <v>0.57604687279774269</v>
      </c>
      <c r="AL9" s="35" t="s">
        <v>14</v>
      </c>
      <c r="AM9" s="36">
        <f>(1+AG9^2-AG31^2)/2</f>
        <v>0.49014637871344946</v>
      </c>
      <c r="AN9" s="36">
        <f>(1+AH9^2-AH31^2)/2</f>
        <v>0.51865706038740522</v>
      </c>
      <c r="AO9" s="36">
        <f>(1+AI9^2-AI31^2)/2</f>
        <v>0.64829399183349135</v>
      </c>
      <c r="AP9" s="36">
        <f>(1+AJ9^2-AJ31^2)/2</f>
        <v>0.53292564392806985</v>
      </c>
      <c r="AQ9" s="23">
        <v>1</v>
      </c>
      <c r="AR9" s="14">
        <f t="shared" si="0"/>
        <v>2.1900230748624159</v>
      </c>
      <c r="AT9" s="48" t="s">
        <v>14</v>
      </c>
      <c r="AU9" s="36">
        <f>AM9/SUM($AM9:$AP9)</f>
        <v>0.22380877367889926</v>
      </c>
      <c r="AV9" s="36">
        <f>AN9/SUM($AM9:$AP9)</f>
        <v>0.23682721261737796</v>
      </c>
      <c r="AW9" s="36">
        <f>AO9/SUM($AM9:$AP9)</f>
        <v>0.2960215347841571</v>
      </c>
      <c r="AX9" s="36">
        <f>AP9/SUM($AM9:$AP9)</f>
        <v>0.24334247891956567</v>
      </c>
      <c r="AY9" s="37">
        <f>AQ9/SUM($AM9:$AP9)</f>
        <v>0.45661619344482163</v>
      </c>
      <c r="BA9" s="21" t="str">
        <v>Aspire</v>
      </c>
      <c r="BB9" s="36">
        <v>0.48956112757036435</v>
      </c>
      <c r="BC9" s="36">
        <v>0.58340160290404264</v>
      </c>
      <c r="BD9" s="36">
        <v>0.48847919448870852</v>
      </c>
      <c r="BE9" s="36">
        <v>0.40474704902213676</v>
      </c>
      <c r="BF9" s="36">
        <v>0.45661619344482163</v>
      </c>
      <c r="BG9" s="36">
        <v>0.40093636852518011</v>
      </c>
      <c r="BH9" s="36">
        <v>0.38244322716072998</v>
      </c>
      <c r="BI9" s="36">
        <v>0.40349537023308574</v>
      </c>
      <c r="BJ9" s="36">
        <v>0.38810643457203403</v>
      </c>
      <c r="BK9" s="36">
        <v>0.39452305638415425</v>
      </c>
      <c r="BL9" s="36">
        <v>0.42969858674718164</v>
      </c>
      <c r="BM9" s="36">
        <v>0.39602919252259189</v>
      </c>
      <c r="BN9" s="36">
        <v>0.42425909598402017</v>
      </c>
      <c r="BO9" s="36">
        <v>0.37658352414371293</v>
      </c>
      <c r="BP9" s="36">
        <v>0.45375564969142063</v>
      </c>
      <c r="BQ9" s="36">
        <v>0.43754310563467969</v>
      </c>
      <c r="BR9" s="36">
        <v>0.38961686425426695</v>
      </c>
      <c r="BS9" s="37">
        <v>0.4159612022372533</v>
      </c>
    </row>
    <row r="10" spans="2:71" x14ac:dyDescent="0.55000000000000004">
      <c r="B10" s="21" t="s">
        <v>15</v>
      </c>
      <c r="C10" s="12" t="s">
        <v>4</v>
      </c>
      <c r="D10" s="23" t="s">
        <v>1</v>
      </c>
      <c r="E10" s="23" t="s">
        <v>4</v>
      </c>
      <c r="F10" s="13" t="s">
        <v>5</v>
      </c>
      <c r="G10" s="12" t="s">
        <v>1</v>
      </c>
      <c r="H10" s="23" t="s">
        <v>4</v>
      </c>
      <c r="I10" s="23" t="s">
        <v>1</v>
      </c>
      <c r="J10" s="13" t="s">
        <v>3</v>
      </c>
      <c r="K10" s="12" t="s">
        <v>1</v>
      </c>
      <c r="L10" s="23" t="s">
        <v>4</v>
      </c>
      <c r="M10" s="23" t="s">
        <v>1</v>
      </c>
      <c r="N10" s="13" t="s">
        <v>3</v>
      </c>
      <c r="O10" s="12" t="s">
        <v>4</v>
      </c>
      <c r="P10" s="23" t="s">
        <v>4</v>
      </c>
      <c r="Q10" s="23" t="s">
        <v>4</v>
      </c>
      <c r="R10" s="13" t="s">
        <v>4</v>
      </c>
      <c r="S10" s="12" t="s">
        <v>1</v>
      </c>
      <c r="T10" s="23" t="s">
        <v>5</v>
      </c>
      <c r="U10" s="23" t="s">
        <v>4</v>
      </c>
      <c r="V10" s="13" t="s">
        <v>0</v>
      </c>
      <c r="W10" s="12" t="s">
        <v>4</v>
      </c>
      <c r="X10" s="23" t="s">
        <v>1</v>
      </c>
      <c r="Y10" s="23" t="s">
        <v>0</v>
      </c>
      <c r="Z10" s="13" t="s">
        <v>4</v>
      </c>
      <c r="AA10" s="12" t="s">
        <v>4</v>
      </c>
      <c r="AB10" s="23" t="s">
        <v>5</v>
      </c>
      <c r="AC10" s="23" t="s">
        <v>3</v>
      </c>
      <c r="AD10" s="24" t="s">
        <v>4</v>
      </c>
      <c r="AF10" s="35" t="s">
        <v>15</v>
      </c>
      <c r="AG10" s="36">
        <f>SQRT(1-((((1-C32^2))^$C$25)*(((1-G32^2))^$G$25)*(((1-K32^2))^$K$25)*(((1-O32^2))^$O$25)*(((1-S32^2))^$S$25)*(((1-W32^2))^$W$25)*(((1-AA32^2))^$AA$25)))</f>
        <v>0.66172259252496723</v>
      </c>
      <c r="AH10" s="36">
        <f>SQRT(1-((((1-D32^2))^$C$25)*(((1-H32^2))^$G$25)*(((1-L32^2))^$K$25)*(((1-P32^2))^$O$25)*(((1-T32^2))^$S$25)*(((1-X32^2))^$W$25)*(((1-AB32^2))^$AA$25)))</f>
        <v>0.7122957403409963</v>
      </c>
      <c r="AI10" s="36">
        <f>SQRT(1-((((1-E32^2))^$C$25)*(((1-I32^2))^$G$25)*(((1-M32^2))^$K$25)*(((1-Q32^2))^$O$25)*(((1-U32^2))^$S$25)*(((1-Y32^2))^$W$25)*(((1-AC32^2))^$AA$25)))</f>
        <v>0.61087644014669029</v>
      </c>
      <c r="AJ10" s="37">
        <f>SQRT(1-((((1-F32^2))^$C$25)*(((1-J32^2))^$G$25)*(((1-N32^2))^$K$25)*(((1-R32^2))^$O$25)*(((1-V32^2))^$S$25)*(((1-Z32^2))^$W$25)*(((1-AD32^2))^$AA$25)))</f>
        <v>0.63576447162413541</v>
      </c>
      <c r="AL10" s="35" t="s">
        <v>15</v>
      </c>
      <c r="AM10" s="36">
        <f>(1+AG10^2-AG32^2)/2</f>
        <v>0.63578514979472145</v>
      </c>
      <c r="AN10" s="36">
        <f>(1+AH10^2-AH32^2)/2</f>
        <v>0.68491780987478257</v>
      </c>
      <c r="AO10" s="36">
        <f>(1+AI10^2-AI32^2)/2</f>
        <v>0.5751545492486233</v>
      </c>
      <c r="AP10" s="36">
        <f>(1+AJ10^2-AJ32^2)/2</f>
        <v>0.59830385558576804</v>
      </c>
      <c r="AQ10" s="23">
        <v>1</v>
      </c>
      <c r="AR10" s="14">
        <f t="shared" si="0"/>
        <v>2.4941613645038956</v>
      </c>
      <c r="AT10" s="48" t="s">
        <v>15</v>
      </c>
      <c r="AU10" s="36">
        <f>AM10/SUM($AM10:$AP10)</f>
        <v>0.25490938912093331</v>
      </c>
      <c r="AV10" s="36">
        <f>AN10/SUM($AM10:$AP10)</f>
        <v>0.27460845942941509</v>
      </c>
      <c r="AW10" s="36">
        <f>AO10/SUM($AM10:$AP10)</f>
        <v>0.23060037631647989</v>
      </c>
      <c r="AX10" s="36">
        <f>AP10/SUM($AM10:$AP10)</f>
        <v>0.23988177513317163</v>
      </c>
      <c r="AY10" s="37">
        <f>AQ10/SUM($AM10:$AP10)</f>
        <v>0.40093636852518011</v>
      </c>
      <c r="BA10" s="21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4"/>
    </row>
    <row r="11" spans="2:71" x14ac:dyDescent="0.55000000000000004">
      <c r="B11" s="21" t="s">
        <v>16</v>
      </c>
      <c r="C11" s="12" t="s">
        <v>1</v>
      </c>
      <c r="D11" s="23" t="s">
        <v>4</v>
      </c>
      <c r="E11" s="23" t="s">
        <v>4</v>
      </c>
      <c r="F11" s="13" t="s">
        <v>5</v>
      </c>
      <c r="G11" s="12" t="s">
        <v>0</v>
      </c>
      <c r="H11" s="23" t="s">
        <v>0</v>
      </c>
      <c r="I11" s="23" t="s">
        <v>3</v>
      </c>
      <c r="J11" s="13" t="s">
        <v>4</v>
      </c>
      <c r="K11" s="12" t="s">
        <v>1</v>
      </c>
      <c r="L11" s="23" t="s">
        <v>4</v>
      </c>
      <c r="M11" s="23" t="s">
        <v>1</v>
      </c>
      <c r="N11" s="13" t="s">
        <v>4</v>
      </c>
      <c r="O11" s="12" t="s">
        <v>4</v>
      </c>
      <c r="P11" s="23" t="s">
        <v>4</v>
      </c>
      <c r="Q11" s="23" t="s">
        <v>4</v>
      </c>
      <c r="R11" s="13" t="s">
        <v>5</v>
      </c>
      <c r="S11" s="12" t="s">
        <v>5</v>
      </c>
      <c r="T11" s="23" t="s">
        <v>1</v>
      </c>
      <c r="U11" s="23" t="s">
        <v>4</v>
      </c>
      <c r="V11" s="13" t="s">
        <v>5</v>
      </c>
      <c r="W11" s="12" t="s">
        <v>5</v>
      </c>
      <c r="X11" s="23" t="s">
        <v>5</v>
      </c>
      <c r="Y11" s="23" t="s">
        <v>1</v>
      </c>
      <c r="Z11" s="13" t="s">
        <v>5</v>
      </c>
      <c r="AA11" s="12" t="s">
        <v>1</v>
      </c>
      <c r="AB11" s="23" t="s">
        <v>4</v>
      </c>
      <c r="AC11" s="23" t="s">
        <v>3</v>
      </c>
      <c r="AD11" s="24" t="s">
        <v>5</v>
      </c>
      <c r="AF11" s="35" t="s">
        <v>16</v>
      </c>
      <c r="AG11" s="36">
        <f>SQRT(1-((((1-C33^2))^$C$25)*(((1-G33^2))^$G$25)*(((1-K33^2))^$K$25)*(((1-O33^2))^$O$25)*(((1-S33^2))^$S$25)*(((1-W33^2))^$W$25)*(((1-AA33^2))^$AA$25)))</f>
        <v>0.67089813488719741</v>
      </c>
      <c r="AH11" s="36">
        <f>SQRT(1-((((1-D33^2))^$C$25)*(((1-H33^2))^$G$25)*(((1-L33^2))^$K$25)*(((1-P33^2))^$O$25)*(((1-T33^2))^$S$25)*(((1-X33^2))^$W$25)*(((1-AB33^2))^$AA$25)))</f>
        <v>0.67701826324092673</v>
      </c>
      <c r="AI11" s="36">
        <f>SQRT(1-((((1-E33^2))^$C$25)*(((1-I33^2))^$G$25)*(((1-M33^2))^$K$25)*(((1-Q33^2))^$O$25)*(((1-U33^2))^$S$25)*(((1-Y33^2))^$W$25)*(((1-AC33^2))^$AA$25)))</f>
        <v>0.61779617063883396</v>
      </c>
      <c r="AJ11" s="37">
        <f>SQRT(1-((((1-F33^2))^$C$25)*(((1-J33^2))^$G$25)*(((1-N33^2))^$K$25)*(((1-R33^2))^$O$25)*(((1-V33^2))^$S$25)*(((1-Z33^2))^$W$25)*(((1-AD33^2))^$AA$25)))</f>
        <v>0.77609980608022178</v>
      </c>
      <c r="AL11" s="35" t="s">
        <v>16</v>
      </c>
      <c r="AM11" s="36">
        <f>(1+AG11^2-AG33^2)/2</f>
        <v>0.63038629375056221</v>
      </c>
      <c r="AN11" s="36">
        <f>(1+AH11^2-AH33^2)/2</f>
        <v>0.64848948082389501</v>
      </c>
      <c r="AO11" s="36">
        <f>(1+AI11^2-AI33^2)/2</f>
        <v>0.58386965132217261</v>
      </c>
      <c r="AP11" s="36">
        <f>(1+AJ11^2-AJ33^2)/2</f>
        <v>0.75202175778192581</v>
      </c>
      <c r="AQ11" s="23">
        <v>1</v>
      </c>
      <c r="AR11" s="14">
        <f t="shared" si="0"/>
        <v>2.6147671836785555</v>
      </c>
      <c r="AT11" s="48" t="s">
        <v>16</v>
      </c>
      <c r="AU11" s="36">
        <f>AM11/SUM($AM11:$AP11)</f>
        <v>0.24108696853985692</v>
      </c>
      <c r="AV11" s="36">
        <f>AN11/SUM($AM11:$AP11)</f>
        <v>0.24801040982607672</v>
      </c>
      <c r="AW11" s="36">
        <f>AO11/SUM($AM11:$AP11)</f>
        <v>0.22329699369286188</v>
      </c>
      <c r="AX11" s="36">
        <f>AP11/SUM($AM11:$AP11)</f>
        <v>0.28760562794120453</v>
      </c>
      <c r="AY11" s="37">
        <f>AQ11/SUM($AM11:$AP11)</f>
        <v>0.38244322716072998</v>
      </c>
      <c r="BA11" s="21"/>
      <c r="BB11" s="23" t="s">
        <v>10</v>
      </c>
      <c r="BC11" s="23" t="s">
        <v>11</v>
      </c>
      <c r="BD11" s="23" t="s">
        <v>12</v>
      </c>
      <c r="BE11" s="23" t="s">
        <v>13</v>
      </c>
      <c r="BF11" s="23" t="s">
        <v>14</v>
      </c>
      <c r="BG11" s="23" t="s">
        <v>15</v>
      </c>
      <c r="BH11" s="23" t="s">
        <v>16</v>
      </c>
      <c r="BI11" s="23" t="s">
        <v>17</v>
      </c>
      <c r="BJ11" s="23" t="s">
        <v>18</v>
      </c>
      <c r="BK11" s="23" t="s">
        <v>19</v>
      </c>
      <c r="BL11" s="23" t="s">
        <v>20</v>
      </c>
      <c r="BM11" s="23" t="s">
        <v>21</v>
      </c>
      <c r="BN11" s="23" t="s">
        <v>22</v>
      </c>
      <c r="BO11" s="23" t="s">
        <v>23</v>
      </c>
      <c r="BP11" s="23" t="s">
        <v>24</v>
      </c>
      <c r="BQ11" s="23" t="s">
        <v>25</v>
      </c>
      <c r="BR11" s="23" t="s">
        <v>26</v>
      </c>
      <c r="BS11" s="24" t="s">
        <v>27</v>
      </c>
    </row>
    <row r="12" spans="2:71" x14ac:dyDescent="0.55000000000000004">
      <c r="B12" s="21" t="s">
        <v>17</v>
      </c>
      <c r="C12" s="12" t="s">
        <v>1</v>
      </c>
      <c r="D12" s="23" t="s">
        <v>4</v>
      </c>
      <c r="E12" s="23" t="s">
        <v>4</v>
      </c>
      <c r="F12" s="13" t="s">
        <v>5</v>
      </c>
      <c r="G12" s="12" t="s">
        <v>3</v>
      </c>
      <c r="H12" s="23" t="s">
        <v>3</v>
      </c>
      <c r="I12" s="23" t="s">
        <v>3</v>
      </c>
      <c r="J12" s="13" t="s">
        <v>4</v>
      </c>
      <c r="K12" s="12" t="s">
        <v>1</v>
      </c>
      <c r="L12" s="23" t="s">
        <v>1</v>
      </c>
      <c r="M12" s="23" t="s">
        <v>4</v>
      </c>
      <c r="N12" s="13" t="s">
        <v>4</v>
      </c>
      <c r="O12" s="12" t="s">
        <v>1</v>
      </c>
      <c r="P12" s="23" t="s">
        <v>1</v>
      </c>
      <c r="Q12" s="23" t="s">
        <v>1</v>
      </c>
      <c r="R12" s="13" t="s">
        <v>5</v>
      </c>
      <c r="S12" s="12" t="s">
        <v>1</v>
      </c>
      <c r="T12" s="23" t="s">
        <v>4</v>
      </c>
      <c r="U12" s="23" t="s">
        <v>5</v>
      </c>
      <c r="V12" s="13" t="s">
        <v>5</v>
      </c>
      <c r="W12" s="12" t="s">
        <v>4</v>
      </c>
      <c r="X12" s="23" t="s">
        <v>4</v>
      </c>
      <c r="Y12" s="23" t="s">
        <v>3</v>
      </c>
      <c r="Z12" s="13" t="s">
        <v>5</v>
      </c>
      <c r="AA12" s="12" t="s">
        <v>3</v>
      </c>
      <c r="AB12" s="23" t="s">
        <v>3</v>
      </c>
      <c r="AC12" s="23" t="s">
        <v>1</v>
      </c>
      <c r="AD12" s="24" t="s">
        <v>5</v>
      </c>
      <c r="AF12" s="35" t="s">
        <v>17</v>
      </c>
      <c r="AG12" s="36">
        <f>SQRT(1-((((1-C34^2))^$C$25)*(((1-G34^2))^$G$25)*(((1-K34^2))^$K$25)*(((1-O34^2))^$O$25)*(((1-S34^2))^$S$25)*(((1-W34^2))^$W$25)*(((1-AA34^2))^$AA$25)))</f>
        <v>0.58329172715292577</v>
      </c>
      <c r="AH12" s="36">
        <f>SQRT(1-((((1-D34^2))^$C$25)*(((1-H34^2))^$G$25)*(((1-L34^2))^$K$25)*(((1-P34^2))^$O$25)*(((1-T34^2))^$S$25)*(((1-X34^2))^$W$25)*(((1-AB34^2))^$AA$25)))</f>
        <v>0.61779617063883396</v>
      </c>
      <c r="AI12" s="36">
        <f>SQRT(1-((((1-E34^2))^$C$25)*(((1-I34^2))^$G$25)*(((1-M34^2))^$K$25)*(((1-Q34^2))^$O$25)*(((1-U34^2))^$S$25)*(((1-Y34^2))^$W$25)*(((1-AC34^2))^$AA$25)))</f>
        <v>0.64162763278374946</v>
      </c>
      <c r="AJ12" s="37">
        <f>SQRT(1-((((1-F34^2))^$C$25)*(((1-J34^2))^$G$25)*(((1-N34^2))^$K$25)*(((1-R34^2))^$O$25)*(((1-V34^2))^$S$25)*(((1-Z34^2))^$W$25)*(((1-AD34^2))^$AA$25)))</f>
        <v>0.77609980608022178</v>
      </c>
      <c r="AL12" s="35" t="s">
        <v>17</v>
      </c>
      <c r="AM12" s="36">
        <f>(1+AG12^2-AG34^2)/2</f>
        <v>0.53896627970139144</v>
      </c>
      <c r="AN12" s="36">
        <f>(1+AH12^2-AH34^2)/2</f>
        <v>0.58386965132217261</v>
      </c>
      <c r="AO12" s="36">
        <f>(1+AI12^2-AI34^2)/2</f>
        <v>0.60348549372553528</v>
      </c>
      <c r="AP12" s="36">
        <f>(1+AJ12^2-AJ34^2)/2</f>
        <v>0.75202175778192581</v>
      </c>
      <c r="AQ12" s="23">
        <v>1</v>
      </c>
      <c r="AR12" s="14">
        <f t="shared" si="0"/>
        <v>2.4783431825310251</v>
      </c>
      <c r="AT12" s="48" t="s">
        <v>17</v>
      </c>
      <c r="AU12" s="36">
        <f>AM12/SUM($AM12:$AP12)</f>
        <v>0.2174703985712618</v>
      </c>
      <c r="AV12" s="36">
        <f>AN12/SUM($AM12:$AP12)</f>
        <v>0.23558870112810273</v>
      </c>
      <c r="AW12" s="36">
        <f>AO12/SUM($AM12:$AP12)</f>
        <v>0.2435036027210814</v>
      </c>
      <c r="AX12" s="36">
        <f>AP12/SUM($AM12:$AP12)</f>
        <v>0.30343729757955407</v>
      </c>
      <c r="AY12" s="37">
        <f>AQ12/SUM($AM12:$AP12)</f>
        <v>0.40349537023308574</v>
      </c>
      <c r="BA12" s="21"/>
      <c r="BB12" s="36" cm="1">
        <f t="array" ref="BB12:BB16">_xlfn._xlws.SORT(BB5:BB9)</f>
        <v>0.19847079368875717</v>
      </c>
      <c r="BC12" s="36" cm="1">
        <f t="array" ref="BC12:BC16">_xlfn._xlws.SORT(BC5:BC9)</f>
        <v>0.17633018094222414</v>
      </c>
      <c r="BD12" s="36" cm="1">
        <f t="array" ref="BD12:BD16">_xlfn._xlws.SORT(BD5:BD9)</f>
        <v>0.21532903346652471</v>
      </c>
      <c r="BE12" s="36" cm="1">
        <f t="array" ref="BE12:BE16">_xlfn._xlws.SORT(BE5:BE9)</f>
        <v>0.23367962791610464</v>
      </c>
      <c r="BF12" s="36" cm="1">
        <f t="array" ref="BF12:BF16">_xlfn._xlws.SORT(BF5:BF9)</f>
        <v>0.22380877367889926</v>
      </c>
      <c r="BG12" s="36" cm="1">
        <f t="array" ref="BG12:BG16">_xlfn._xlws.SORT(BG5:BG9)</f>
        <v>0.23060037631647989</v>
      </c>
      <c r="BH12" s="36" cm="1">
        <f t="array" ref="BH12:BH16">_xlfn._xlws.SORT(BH5:BH9)</f>
        <v>0.22329699369286188</v>
      </c>
      <c r="BI12" s="36" cm="1">
        <f t="array" ref="BI12:BI16">_xlfn._xlws.SORT(BI5:BI9)</f>
        <v>0.2174703985712618</v>
      </c>
      <c r="BJ12" s="36" cm="1">
        <f t="array" ref="BJ12:BJ16">_xlfn._xlws.SORT(BJ5:BJ9)</f>
        <v>0.2232211814367685</v>
      </c>
      <c r="BK12" s="36" cm="1">
        <f t="array" ref="BK12:BK16">_xlfn._xlws.SORT(BK5:BK9)</f>
        <v>0.20445141540687783</v>
      </c>
      <c r="BL12" s="36" cm="1">
        <f t="array" ref="BL12:BL16">_xlfn._xlws.SORT(BL5:BL9)</f>
        <v>0.21044073307228275</v>
      </c>
      <c r="BM12" s="36" cm="1">
        <f t="array" ref="BM12:BM16">_xlfn._xlws.SORT(BM5:BM9)</f>
        <v>0.24664340897025544</v>
      </c>
      <c r="BN12" s="36" cm="1">
        <f t="array" ref="BN12:BN16">_xlfn._xlws.SORT(BN5:BN9)</f>
        <v>0.23130213385929119</v>
      </c>
      <c r="BO12" s="36" cm="1">
        <f t="array" ref="BO12:BO16">_xlfn._xlws.SORT(BO5:BO9)</f>
        <v>0.21612073627244371</v>
      </c>
      <c r="BP12" s="36" cm="1">
        <f t="array" ref="BP12:BP16">_xlfn._xlws.SORT(BP5:BP9)</f>
        <v>0.21491768729595151</v>
      </c>
      <c r="BQ12" s="36" cm="1">
        <f t="array" ref="BQ12:BQ16">_xlfn._xlws.SORT(BQ5:BQ9)</f>
        <v>0.21227948406712108</v>
      </c>
      <c r="BR12" s="36" cm="1">
        <f t="array" ref="BR12:BR16">_xlfn._xlws.SORT(BR5:BR9)</f>
        <v>0.2262259303565323</v>
      </c>
      <c r="BS12" s="37" cm="1">
        <f t="array" ref="BS12:BS16">_xlfn._xlws.SORT(BS5:BS9)</f>
        <v>0.21745696715671134</v>
      </c>
    </row>
    <row r="13" spans="2:71" x14ac:dyDescent="0.55000000000000004">
      <c r="B13" s="21" t="s">
        <v>18</v>
      </c>
      <c r="C13" s="12" t="s">
        <v>4</v>
      </c>
      <c r="D13" s="23" t="s">
        <v>4</v>
      </c>
      <c r="E13" s="23" t="s">
        <v>1</v>
      </c>
      <c r="F13" s="13" t="s">
        <v>5</v>
      </c>
      <c r="G13" s="12" t="s">
        <v>1</v>
      </c>
      <c r="H13" s="23" t="s">
        <v>4</v>
      </c>
      <c r="I13" s="23" t="s">
        <v>4</v>
      </c>
      <c r="J13" s="13" t="s">
        <v>0</v>
      </c>
      <c r="K13" s="12" t="s">
        <v>1</v>
      </c>
      <c r="L13" s="23" t="s">
        <v>4</v>
      </c>
      <c r="M13" s="23" t="s">
        <v>3</v>
      </c>
      <c r="N13" s="13" t="s">
        <v>1</v>
      </c>
      <c r="O13" s="12" t="s">
        <v>1</v>
      </c>
      <c r="P13" s="23" t="s">
        <v>1</v>
      </c>
      <c r="Q13" s="23" t="s">
        <v>4</v>
      </c>
      <c r="R13" s="13" t="s">
        <v>5</v>
      </c>
      <c r="S13" s="12" t="s">
        <v>4</v>
      </c>
      <c r="T13" s="23" t="s">
        <v>5</v>
      </c>
      <c r="U13" s="23" t="s">
        <v>1</v>
      </c>
      <c r="V13" s="13" t="s">
        <v>1</v>
      </c>
      <c r="W13" s="12" t="s">
        <v>4</v>
      </c>
      <c r="X13" s="23" t="s">
        <v>1</v>
      </c>
      <c r="Y13" s="23" t="s">
        <v>4</v>
      </c>
      <c r="Z13" s="13" t="s">
        <v>5</v>
      </c>
      <c r="AA13" s="12" t="s">
        <v>4</v>
      </c>
      <c r="AB13" s="23" t="s">
        <v>5</v>
      </c>
      <c r="AC13" s="23" t="s">
        <v>0</v>
      </c>
      <c r="AD13" s="24" t="s">
        <v>5</v>
      </c>
      <c r="AF13" s="35" t="s">
        <v>18</v>
      </c>
      <c r="AG13" s="36">
        <f>SQRT(1-((((1-C35^2))^$C$25)*(((1-G35^2))^$G$25)*(((1-K35^2))^$K$25)*(((1-O35^2))^$O$25)*(((1-S35^2))^$S$25)*(((1-W35^2))^$W$25)*(((1-AA35^2))^$AA$25)))</f>
        <v>0.66172259252496723</v>
      </c>
      <c r="AH13" s="36">
        <f>SQRT(1-((((1-D35^2))^$C$25)*(((1-H35^2))^$G$25)*(((1-L35^2))^$K$25)*(((1-P35^2))^$O$25)*(((1-T35^2))^$S$25)*(((1-X35^2))^$W$25)*(((1-AB35^2))^$AA$25)))</f>
        <v>0.7122957403409963</v>
      </c>
      <c r="AI13" s="36">
        <f>SQRT(1-((((1-E35^2))^$C$25)*(((1-I35^2))^$G$25)*(((1-M35^2))^$K$25)*(((1-Q35^2))^$O$25)*(((1-U35^2))^$S$25)*(((1-Y35^2))^$W$25)*(((1-AC35^2))^$AA$25)))</f>
        <v>0.61087644014669029</v>
      </c>
      <c r="AJ13" s="37">
        <f>SQRT(1-((((1-F35^2))^$C$25)*(((1-J35^2))^$G$25)*(((1-N35^2))^$K$25)*(((1-R35^2))^$O$25)*(((1-V35^2))^$S$25)*(((1-Z35^2))^$W$25)*(((1-AD35^2))^$AA$25)))</f>
        <v>0.71977857764016739</v>
      </c>
      <c r="AL13" s="35" t="s">
        <v>18</v>
      </c>
      <c r="AM13" s="36">
        <f>(1+AG13^2-AG35^2)/2</f>
        <v>0.63578514979472145</v>
      </c>
      <c r="AN13" s="36">
        <f>(1+AH13^2-AH35^2)/2</f>
        <v>0.68491780987478257</v>
      </c>
      <c r="AO13" s="36">
        <f>(1+AI13^2-AI35^2)/2</f>
        <v>0.57515454924862319</v>
      </c>
      <c r="AP13" s="36">
        <f>(1+AJ13^2-AJ35^2)/2</f>
        <v>0.68075527283773962</v>
      </c>
      <c r="AQ13" s="23">
        <v>1</v>
      </c>
      <c r="AR13" s="14">
        <f t="shared" si="0"/>
        <v>2.5766127817558671</v>
      </c>
      <c r="AT13" s="48" t="s">
        <v>18</v>
      </c>
      <c r="AU13" s="36">
        <f>AM13/SUM($AM13:$AP13)</f>
        <v>0.24675230764067591</v>
      </c>
      <c r="AV13" s="36">
        <f>AN13/SUM($AM13:$AP13)</f>
        <v>0.26582100916538814</v>
      </c>
      <c r="AW13" s="36">
        <f>AO13/SUM($AM13:$AP13)</f>
        <v>0.2232211814367685</v>
      </c>
      <c r="AX13" s="36">
        <f>AP13/SUM($AM13:$AP13)</f>
        <v>0.26420550175716734</v>
      </c>
      <c r="AY13" s="37">
        <f>AQ13/SUM($AM13:$AP13)</f>
        <v>0.38810643457203403</v>
      </c>
      <c r="BA13" s="21"/>
      <c r="BB13" s="36">
        <v>0.22722593492075679</v>
      </c>
      <c r="BC13" s="36">
        <v>0.20716831683069289</v>
      </c>
      <c r="BD13" s="36">
        <v>0.25477909032138324</v>
      </c>
      <c r="BE13" s="36">
        <v>0.2499710544860976</v>
      </c>
      <c r="BF13" s="36">
        <v>0.23682721261737796</v>
      </c>
      <c r="BG13" s="36">
        <v>0.23988177513317163</v>
      </c>
      <c r="BH13" s="36">
        <v>0.24108696853985692</v>
      </c>
      <c r="BI13" s="36">
        <v>0.23558870112810273</v>
      </c>
      <c r="BJ13" s="36">
        <v>0.24675230764067591</v>
      </c>
      <c r="BK13" s="36">
        <v>0.23873247137819398</v>
      </c>
      <c r="BL13" s="36">
        <v>0.24157720301179386</v>
      </c>
      <c r="BM13" s="36">
        <v>0.24794954682337716</v>
      </c>
      <c r="BN13" s="36">
        <v>0.23940179259678207</v>
      </c>
      <c r="BO13" s="36">
        <v>0.24123819181660691</v>
      </c>
      <c r="BP13" s="36">
        <v>0.21668139518070648</v>
      </c>
      <c r="BQ13" s="36">
        <v>0.23593527260084865</v>
      </c>
      <c r="BR13" s="36">
        <v>0.229825633111331</v>
      </c>
      <c r="BS13" s="37">
        <v>0.23147130319007631</v>
      </c>
    </row>
    <row r="14" spans="2:71" x14ac:dyDescent="0.55000000000000004">
      <c r="B14" s="21" t="s">
        <v>19</v>
      </c>
      <c r="C14" s="12" t="s">
        <v>1</v>
      </c>
      <c r="D14" s="23" t="s">
        <v>4</v>
      </c>
      <c r="E14" s="23" t="s">
        <v>1</v>
      </c>
      <c r="F14" s="13" t="s">
        <v>4</v>
      </c>
      <c r="G14" s="12" t="s">
        <v>3</v>
      </c>
      <c r="H14" s="23" t="s">
        <v>5</v>
      </c>
      <c r="I14" s="23" t="s">
        <v>4</v>
      </c>
      <c r="J14" s="13" t="s">
        <v>3</v>
      </c>
      <c r="K14" s="12" t="s">
        <v>1</v>
      </c>
      <c r="L14" s="23" t="s">
        <v>4</v>
      </c>
      <c r="M14" s="23" t="s">
        <v>3</v>
      </c>
      <c r="N14" s="13" t="s">
        <v>1</v>
      </c>
      <c r="O14" s="12" t="s">
        <v>3</v>
      </c>
      <c r="P14" s="23" t="s">
        <v>4</v>
      </c>
      <c r="Q14" s="23" t="s">
        <v>5</v>
      </c>
      <c r="R14" s="13" t="s">
        <v>5</v>
      </c>
      <c r="S14" s="12" t="s">
        <v>3</v>
      </c>
      <c r="T14" s="23" t="s">
        <v>5</v>
      </c>
      <c r="U14" s="23" t="s">
        <v>28</v>
      </c>
      <c r="V14" s="13" t="s">
        <v>4</v>
      </c>
      <c r="W14" s="12" t="s">
        <v>1</v>
      </c>
      <c r="X14" s="23" t="s">
        <v>5</v>
      </c>
      <c r="Y14" s="23" t="s">
        <v>5</v>
      </c>
      <c r="Z14" s="13" t="s">
        <v>4</v>
      </c>
      <c r="AA14" s="12" t="s">
        <v>4</v>
      </c>
      <c r="AB14" s="23" t="s">
        <v>5</v>
      </c>
      <c r="AC14" s="23" t="s">
        <v>1</v>
      </c>
      <c r="AD14" s="24" t="s">
        <v>5</v>
      </c>
      <c r="AF14" s="35" t="s">
        <v>19</v>
      </c>
      <c r="AG14" s="36">
        <f>SQRT(1-((((1-C36^2))^$C$25)*(((1-G36^2))^$G$25)*(((1-K36^2))^$K$25)*(((1-O36^2))^$O$25)*(((1-S36^2))^$S$25)*(((1-W36^2))^$W$25)*(((1-AA36^2))^$AA$25)))</f>
        <v>0.56494510481438842</v>
      </c>
      <c r="AH14" s="36">
        <f>SQRT(1-((((1-D36^2))^$C$25)*(((1-H36^2))^$G$25)*(((1-L36^2))^$K$25)*(((1-P36^2))^$O$25)*(((1-T36^2))^$S$25)*(((1-X36^2))^$W$25)*(((1-AB36^2))^$AA$25)))</f>
        <v>0.76291748902114376</v>
      </c>
      <c r="AI14" s="36">
        <f>SQRT(1-((((1-E36^2))^$C$25)*(((1-I36^2))^$G$25)*(((1-M36^2))^$K$25)*(((1-Q36^2))^$O$25)*(((1-U36^2))^$S$25)*(((1-Y36^2))^$W$25)*(((1-AC36^2))^$AA$25)))</f>
        <v>0.6520852521555488</v>
      </c>
      <c r="AJ14" s="37">
        <f>SQRT(1-((((1-F36^2))^$C$25)*(((1-J36^2))^$G$25)*(((1-N36^2))^$K$25)*(((1-R36^2))^$O$25)*(((1-V36^2))^$S$25)*(((1-Z36^2))^$W$25)*(((1-AD36^2))^$AA$25)))</f>
        <v>0.70116727832647674</v>
      </c>
      <c r="AL14" s="35" t="s">
        <v>19</v>
      </c>
      <c r="AM14" s="36">
        <f>(1+AG14^2-AG36^2)/2</f>
        <v>0.51822425102526781</v>
      </c>
      <c r="AN14" s="36">
        <f>(1+AH14^2-AH36^2)/2</f>
        <v>0.73966504068309902</v>
      </c>
      <c r="AO14" s="36">
        <f>(1+AI14^2-AI36^2)/2</f>
        <v>0.60511665291808914</v>
      </c>
      <c r="AP14" s="36">
        <f>(1+AJ14^2-AJ36^2)/2</f>
        <v>0.67170016143767686</v>
      </c>
      <c r="AQ14" s="23">
        <v>1</v>
      </c>
      <c r="AR14" s="14">
        <f t="shared" si="0"/>
        <v>2.5347061060641329</v>
      </c>
      <c r="AT14" s="48" t="s">
        <v>19</v>
      </c>
      <c r="AU14" s="36">
        <f>AM14/SUM($AM14:$AP14)</f>
        <v>0.20445141540687783</v>
      </c>
      <c r="AV14" s="36">
        <f>AN14/SUM($AM14:$AP14)</f>
        <v>0.29181491255080605</v>
      </c>
      <c r="AW14" s="36">
        <f>AO14/SUM($AM14:$AP14)</f>
        <v>0.23873247137819398</v>
      </c>
      <c r="AX14" s="36">
        <f>AP14/SUM($AM14:$AP14)</f>
        <v>0.26500120066412208</v>
      </c>
      <c r="AY14" s="37">
        <f>AQ14/SUM($AM14:$AP14)</f>
        <v>0.39452305638415425</v>
      </c>
      <c r="BA14" s="21"/>
      <c r="BB14" s="36">
        <v>0.25895681644150137</v>
      </c>
      <c r="BC14" s="36">
        <v>0.30790710351599276</v>
      </c>
      <c r="BD14" s="36">
        <v>0.25603584271846552</v>
      </c>
      <c r="BE14" s="36">
        <v>0.25108001515344497</v>
      </c>
      <c r="BF14" s="36">
        <v>0.24334247891956567</v>
      </c>
      <c r="BG14" s="36">
        <v>0.25490938912093331</v>
      </c>
      <c r="BH14" s="36">
        <v>0.24801040982607672</v>
      </c>
      <c r="BI14" s="36">
        <v>0.2435036027210814</v>
      </c>
      <c r="BJ14" s="36">
        <v>0.26420550175716734</v>
      </c>
      <c r="BK14" s="36">
        <v>0.26500120066412208</v>
      </c>
      <c r="BL14" s="36">
        <v>0.24157720301179386</v>
      </c>
      <c r="BM14" s="36">
        <v>0.2526302014965327</v>
      </c>
      <c r="BN14" s="36">
        <v>0.24887835529789781</v>
      </c>
      <c r="BO14" s="36">
        <v>0.26876476966250734</v>
      </c>
      <c r="BP14" s="36">
        <v>0.24455899440767279</v>
      </c>
      <c r="BQ14" s="36">
        <v>0.26804314192092221</v>
      </c>
      <c r="BR14" s="36">
        <v>0.26081729898215794</v>
      </c>
      <c r="BS14" s="37">
        <v>0.2726190054454371</v>
      </c>
    </row>
    <row r="15" spans="2:71" x14ac:dyDescent="0.55000000000000004">
      <c r="B15" s="21" t="s">
        <v>20</v>
      </c>
      <c r="C15" s="12" t="s">
        <v>4</v>
      </c>
      <c r="D15" s="23" t="s">
        <v>4</v>
      </c>
      <c r="E15" s="23" t="s">
        <v>4</v>
      </c>
      <c r="F15" s="13" t="s">
        <v>4</v>
      </c>
      <c r="G15" s="12" t="s">
        <v>1</v>
      </c>
      <c r="H15" s="23" t="s">
        <v>3</v>
      </c>
      <c r="I15" s="23" t="s">
        <v>5</v>
      </c>
      <c r="J15" s="13" t="s">
        <v>1</v>
      </c>
      <c r="K15" s="12" t="s">
        <v>3</v>
      </c>
      <c r="L15" s="23" t="s">
        <v>3</v>
      </c>
      <c r="M15" s="23" t="s">
        <v>4</v>
      </c>
      <c r="N15" s="13" t="s">
        <v>1</v>
      </c>
      <c r="O15" s="12" t="s">
        <v>4</v>
      </c>
      <c r="P15" s="23" t="s">
        <v>4</v>
      </c>
      <c r="Q15" s="23" t="s">
        <v>4</v>
      </c>
      <c r="R15" s="13" t="s">
        <v>4</v>
      </c>
      <c r="S15" s="12" t="s">
        <v>3</v>
      </c>
      <c r="T15" s="23" t="s">
        <v>3</v>
      </c>
      <c r="U15" s="23" t="s">
        <v>4</v>
      </c>
      <c r="V15" s="13" t="s">
        <v>1</v>
      </c>
      <c r="W15" s="12" t="s">
        <v>1</v>
      </c>
      <c r="X15" s="23" t="s">
        <v>3</v>
      </c>
      <c r="Y15" s="23" t="s">
        <v>4</v>
      </c>
      <c r="Z15" s="13" t="s">
        <v>3</v>
      </c>
      <c r="AA15" s="12" t="s">
        <v>1</v>
      </c>
      <c r="AB15" s="23" t="s">
        <v>0</v>
      </c>
      <c r="AC15" s="23" t="s">
        <v>5</v>
      </c>
      <c r="AD15" s="24" t="s">
        <v>3</v>
      </c>
      <c r="AF15" s="35" t="s">
        <v>20</v>
      </c>
      <c r="AG15" s="36">
        <f>SQRT(1-((((1-C37^2))^$C$25)*(((1-G37^2))^$G$25)*(((1-K37^2))^$K$25)*(((1-O37^2))^$O$25)*(((1-S37^2))^$S$25)*(((1-W37^2))^$W$25)*(((1-AA37^2))^$AA$25)))</f>
        <v>0.60107130404286402</v>
      </c>
      <c r="AH15" s="36">
        <f>SQRT(1-((((1-D37^2))^$C$25)*(((1-H37^2))^$G$25)*(((1-L37^2))^$K$25)*(((1-P37^2))^$O$25)*(((1-T37^2))^$S$25)*(((1-X37^2))^$W$25)*(((1-AB37^2))^$AA$25)))</f>
        <v>0.53710324189218528</v>
      </c>
      <c r="AI15" s="36">
        <f>SQRT(1-((((1-E37^2))^$C$25)*(((1-I37^2))^$G$25)*(((1-M37^2))^$K$25)*(((1-Q37^2))^$O$25)*(((1-U37^2))^$S$25)*(((1-Y37^2))^$W$25)*(((1-AC37^2))^$AA$25)))</f>
        <v>0.73369585269098714</v>
      </c>
      <c r="AJ15" s="37">
        <f>SQRT(1-((((1-F37^2))^$C$25)*(((1-J37^2))^$G$25)*(((1-N37^2))^$K$25)*(((1-R37^2))^$O$25)*(((1-V37^2))^$S$25)*(((1-Z37^2))^$W$25)*(((1-AD37^2))^$AA$25)))</f>
        <v>0.60107130404286402</v>
      </c>
      <c r="AL15" s="35" t="s">
        <v>20</v>
      </c>
      <c r="AM15" s="36">
        <f>(1+AG15^2-AG37^2)/2</f>
        <v>0.56220153024131014</v>
      </c>
      <c r="AN15" s="36">
        <f>(1+AH15^2-AH37^2)/2</f>
        <v>0.4897403425627232</v>
      </c>
      <c r="AO15" s="36">
        <f>(1+AI15^2-AI37^2)/2</f>
        <v>0.71306927775493645</v>
      </c>
      <c r="AP15" s="36">
        <f>(1+AJ15^2-AJ37^2)/2</f>
        <v>0.56220153024131014</v>
      </c>
      <c r="AQ15" s="23">
        <v>1</v>
      </c>
      <c r="AR15" s="14">
        <f t="shared" si="0"/>
        <v>2.3272126808002795</v>
      </c>
      <c r="AT15" s="48" t="s">
        <v>20</v>
      </c>
      <c r="AU15" s="36">
        <f>AM15/SUM($AM15:$AP15)</f>
        <v>0.24157720301179386</v>
      </c>
      <c r="AV15" s="36">
        <f>AN15/SUM($AM15:$AP15)</f>
        <v>0.21044073307228275</v>
      </c>
      <c r="AW15" s="36">
        <f>AO15/SUM($AM15:$AP15)</f>
        <v>0.30640486090412972</v>
      </c>
      <c r="AX15" s="36">
        <f>AP15/SUM($AM15:$AP15)</f>
        <v>0.24157720301179386</v>
      </c>
      <c r="AY15" s="37">
        <f>AQ15/SUM($AM15:$AP15)</f>
        <v>0.42969858674718164</v>
      </c>
      <c r="BA15" s="21"/>
      <c r="BB15" s="36">
        <v>0.31534645494898472</v>
      </c>
      <c r="BC15" s="36">
        <v>0.30859439871109012</v>
      </c>
      <c r="BD15" s="36">
        <v>0.27385603349362664</v>
      </c>
      <c r="BE15" s="36">
        <v>0.26526930244435271</v>
      </c>
      <c r="BF15" s="36">
        <v>0.2960215347841571</v>
      </c>
      <c r="BG15" s="36">
        <v>0.27460845942941509</v>
      </c>
      <c r="BH15" s="36">
        <v>0.28760562794120453</v>
      </c>
      <c r="BI15" s="36">
        <v>0.30343729757955407</v>
      </c>
      <c r="BJ15" s="36">
        <v>0.26582100916538814</v>
      </c>
      <c r="BK15" s="36">
        <v>0.29181491255080605</v>
      </c>
      <c r="BL15" s="36">
        <v>0.30640486090412972</v>
      </c>
      <c r="BM15" s="36">
        <v>0.25277684270983469</v>
      </c>
      <c r="BN15" s="36">
        <v>0.28041771824602907</v>
      </c>
      <c r="BO15" s="36">
        <v>0.27387630224844212</v>
      </c>
      <c r="BP15" s="36">
        <v>0.32384192311566923</v>
      </c>
      <c r="BQ15" s="36">
        <v>0.28374210141110806</v>
      </c>
      <c r="BR15" s="36">
        <v>0.28313113754997876</v>
      </c>
      <c r="BS15" s="37">
        <v>0.27845272420777523</v>
      </c>
    </row>
    <row r="16" spans="2:71" ht="14.7" thickBot="1" x14ac:dyDescent="0.6">
      <c r="B16" s="21" t="s">
        <v>21</v>
      </c>
      <c r="C16" s="12" t="s">
        <v>1</v>
      </c>
      <c r="D16" s="23" t="s">
        <v>5</v>
      </c>
      <c r="E16" s="23" t="s">
        <v>1</v>
      </c>
      <c r="F16" s="13" t="s">
        <v>5</v>
      </c>
      <c r="G16" s="12" t="s">
        <v>3</v>
      </c>
      <c r="H16" s="23" t="s">
        <v>0</v>
      </c>
      <c r="I16" s="23" t="s">
        <v>3</v>
      </c>
      <c r="J16" s="13" t="s">
        <v>4</v>
      </c>
      <c r="K16" s="12" t="s">
        <v>1</v>
      </c>
      <c r="L16" s="23" t="s">
        <v>4</v>
      </c>
      <c r="M16" s="23" t="s">
        <v>1</v>
      </c>
      <c r="N16" s="13" t="s">
        <v>3</v>
      </c>
      <c r="O16" s="12" t="s">
        <v>4</v>
      </c>
      <c r="P16" s="23" t="s">
        <v>4</v>
      </c>
      <c r="Q16" s="23" t="s">
        <v>4</v>
      </c>
      <c r="R16" s="13" t="s">
        <v>4</v>
      </c>
      <c r="S16" s="12" t="s">
        <v>4</v>
      </c>
      <c r="T16" s="23" t="s">
        <v>4</v>
      </c>
      <c r="U16" s="23" t="s">
        <v>5</v>
      </c>
      <c r="V16" s="13" t="s">
        <v>1</v>
      </c>
      <c r="W16" s="12" t="s">
        <v>5</v>
      </c>
      <c r="X16" s="23" t="s">
        <v>4</v>
      </c>
      <c r="Y16" s="23" t="s">
        <v>5</v>
      </c>
      <c r="Z16" s="13" t="s">
        <v>3</v>
      </c>
      <c r="AA16" s="12" t="s">
        <v>4</v>
      </c>
      <c r="AB16" s="23" t="s">
        <v>0</v>
      </c>
      <c r="AC16" s="23" t="s">
        <v>1</v>
      </c>
      <c r="AD16" s="24" t="s">
        <v>4</v>
      </c>
      <c r="AF16" s="35" t="s">
        <v>21</v>
      </c>
      <c r="AG16" s="36">
        <f>SQRT(1-((((1-C38^2))^$C$25)*(((1-G38^2))^$G$25)*(((1-K38^2))^$K$25)*(((1-O38^2))^$O$25)*(((1-S38^2))^$S$25)*(((1-W38^2))^$W$25)*(((1-AA38^2))^$AA$25)))</f>
        <v>0.66939174715204419</v>
      </c>
      <c r="AH16" s="36">
        <f>SQRT(1-((((1-D38^2))^$C$25)*(((1-H38^2))^$G$25)*(((1-L38^2))^$K$25)*(((1-P38^2))^$O$25)*(((1-T38^2))^$S$25)*(((1-X38^2))^$W$25)*(((1-AB38^2))^$AA$25)))</f>
        <v>0.65831119814897876</v>
      </c>
      <c r="AI16" s="36">
        <f>SQRT(1-((((1-E38^2))^$C$25)*(((1-I38^2))^$G$25)*(((1-M38^2))^$K$25)*(((1-Q38^2))^$O$25)*(((1-U38^2))^$S$25)*(((1-Y38^2))^$W$25)*(((1-AC38^2))^$AA$25)))</f>
        <v>0.67643394606299301</v>
      </c>
      <c r="AJ16" s="37">
        <f>SQRT(1-((((1-F38^2))^$C$25)*(((1-J38^2))^$G$25)*(((1-N38^2))^$K$25)*(((1-R38^2))^$O$25)*(((1-V38^2))^$S$25)*(((1-Z38^2))^$W$25)*(((1-AD38^2))^$AA$25)))</f>
        <v>0.65609667978662067</v>
      </c>
      <c r="AL16" s="35" t="s">
        <v>21</v>
      </c>
      <c r="AM16" s="36">
        <f>(1+AG16^2-AG38^2)/2</f>
        <v>0.63827830746445491</v>
      </c>
      <c r="AN16" s="36">
        <f>(1+AH16^2-AH38^2)/2</f>
        <v>0.62608906490960925</v>
      </c>
      <c r="AO16" s="36">
        <f>(1+AI16^2-AI38^2)/2</f>
        <v>0.6379080286666523</v>
      </c>
      <c r="AP16" s="36">
        <f>(1+AJ16^2-AJ38^2)/2</f>
        <v>0.62279098012752032</v>
      </c>
      <c r="AQ16" s="23">
        <v>1</v>
      </c>
      <c r="AR16" s="14">
        <f t="shared" si="0"/>
        <v>2.5250663811682368</v>
      </c>
      <c r="AT16" s="48" t="s">
        <v>21</v>
      </c>
      <c r="AU16" s="36">
        <f>AM16/SUM($AM16:$AP16)</f>
        <v>0.25277684270983469</v>
      </c>
      <c r="AV16" s="36">
        <f>AN16/SUM($AM16:$AP16)</f>
        <v>0.24794954682337716</v>
      </c>
      <c r="AW16" s="36">
        <f>AO16/SUM($AM16:$AP16)</f>
        <v>0.2526302014965327</v>
      </c>
      <c r="AX16" s="36">
        <f>AP16/SUM($AM16:$AP16)</f>
        <v>0.24664340897025544</v>
      </c>
      <c r="AY16" s="37">
        <f>AQ16/SUM($AM16:$AP16)</f>
        <v>0.39602919252259189</v>
      </c>
      <c r="BA16" s="25"/>
      <c r="BB16" s="39">
        <v>0.48956112757036435</v>
      </c>
      <c r="BC16" s="39">
        <v>0.58340160290404264</v>
      </c>
      <c r="BD16" s="39">
        <v>0.48847919448870852</v>
      </c>
      <c r="BE16" s="39">
        <v>0.40474704902213676</v>
      </c>
      <c r="BF16" s="39">
        <v>0.45661619344482163</v>
      </c>
      <c r="BG16" s="39">
        <v>0.40093636852518011</v>
      </c>
      <c r="BH16" s="39">
        <v>0.38244322716072998</v>
      </c>
      <c r="BI16" s="39">
        <v>0.40349537023308574</v>
      </c>
      <c r="BJ16" s="39">
        <v>0.38810643457203403</v>
      </c>
      <c r="BK16" s="39">
        <v>0.39452305638415425</v>
      </c>
      <c r="BL16" s="39">
        <v>0.42969858674718164</v>
      </c>
      <c r="BM16" s="39">
        <v>0.39602919252259189</v>
      </c>
      <c r="BN16" s="39">
        <v>0.42425909598402017</v>
      </c>
      <c r="BO16" s="39">
        <v>0.37658352414371293</v>
      </c>
      <c r="BP16" s="39">
        <v>0.45375564969142063</v>
      </c>
      <c r="BQ16" s="39">
        <v>0.43754310563467969</v>
      </c>
      <c r="BR16" s="39">
        <v>0.38961686425426695</v>
      </c>
      <c r="BS16" s="40">
        <v>0.4159612022372533</v>
      </c>
    </row>
    <row r="17" spans="2:71" x14ac:dyDescent="0.55000000000000004">
      <c r="B17" s="21" t="s">
        <v>22</v>
      </c>
      <c r="C17" s="12" t="s">
        <v>1</v>
      </c>
      <c r="D17" s="23" t="s">
        <v>4</v>
      </c>
      <c r="E17" s="23" t="s">
        <v>1</v>
      </c>
      <c r="F17" s="13" t="s">
        <v>1</v>
      </c>
      <c r="G17" s="12" t="s">
        <v>3</v>
      </c>
      <c r="H17" s="23" t="s">
        <v>2</v>
      </c>
      <c r="I17" s="23" t="s">
        <v>4</v>
      </c>
      <c r="J17" s="13" t="s">
        <v>1</v>
      </c>
      <c r="K17" s="12" t="s">
        <v>1</v>
      </c>
      <c r="L17" s="23" t="s">
        <v>4</v>
      </c>
      <c r="M17" s="23" t="s">
        <v>1</v>
      </c>
      <c r="N17" s="13" t="s">
        <v>3</v>
      </c>
      <c r="O17" s="12" t="s">
        <v>3</v>
      </c>
      <c r="P17" s="23" t="s">
        <v>5</v>
      </c>
      <c r="Q17" s="23" t="s">
        <v>5</v>
      </c>
      <c r="R17" s="13" t="s">
        <v>5</v>
      </c>
      <c r="S17" s="12" t="s">
        <v>3</v>
      </c>
      <c r="T17" s="23" t="s">
        <v>1</v>
      </c>
      <c r="U17" s="23" t="s">
        <v>4</v>
      </c>
      <c r="V17" s="13" t="s">
        <v>0</v>
      </c>
      <c r="W17" s="12" t="s">
        <v>5</v>
      </c>
      <c r="X17" s="23" t="s">
        <v>4</v>
      </c>
      <c r="Y17" s="23" t="s">
        <v>0</v>
      </c>
      <c r="Z17" s="13" t="s">
        <v>0</v>
      </c>
      <c r="AA17" s="12" t="s">
        <v>4</v>
      </c>
      <c r="AB17" s="23" t="s">
        <v>5</v>
      </c>
      <c r="AC17" s="23" t="s">
        <v>0</v>
      </c>
      <c r="AD17" s="24" t="s">
        <v>4</v>
      </c>
      <c r="AF17" s="35" t="s">
        <v>22</v>
      </c>
      <c r="AG17" s="36">
        <f>SQRT(1-((((1-C39^2))^$C$25)*(((1-G39^2))^$G$25)*(((1-K39^2))^$K$25)*(((1-O39^2))^$O$25)*(((1-S39^2))^$S$25)*(((1-W39^2))^$W$25)*(((1-AA39^2))^$AA$25)))</f>
        <v>0.61064405316008596</v>
      </c>
      <c r="AH17" s="36">
        <f>SQRT(1-((((1-D39^2))^$C$25)*(((1-H39^2))^$G$25)*(((1-L39^2))^$K$25)*(((1-P39^2))^$O$25)*(((1-T39^2))^$S$25)*(((1-X39^2))^$W$25)*(((1-AB39^2))^$AA$25)))</f>
        <v>0.69423414699082742</v>
      </c>
      <c r="AI17" s="36">
        <f>SQRT(1-((((1-E39^2))^$C$25)*(((1-I39^2))^$G$25)*(((1-M39^2))^$K$25)*(((1-Q39^2))^$O$25)*(((1-U39^2))^$S$25)*(((1-Y39^2))^$W$25)*(((1-AC39^2))^$AA$25)))</f>
        <v>0.62880522598842481</v>
      </c>
      <c r="AJ17" s="37">
        <f>SQRT(1-((((1-F39^2))^$C$25)*(((1-J39^2))^$G$25)*(((1-N39^2))^$K$25)*(((1-R39^2))^$O$25)*(((1-V39^2))^$S$25)*(((1-Z39^2))^$W$25)*(((1-AD39^2))^$AA$25)))</f>
        <v>0.59625649806513403</v>
      </c>
      <c r="AL17" s="35" t="s">
        <v>22</v>
      </c>
      <c r="AM17" s="36">
        <f>(1+AG17^2-AG39^2)/2</f>
        <v>0.56428205043316082</v>
      </c>
      <c r="AN17" s="36">
        <f>(1+AH17^2-AH39^2)/2</f>
        <v>0.66095864744074007</v>
      </c>
      <c r="AO17" s="36">
        <f>(1+AI17^2-AI39^2)/2</f>
        <v>0.58661878473260098</v>
      </c>
      <c r="AP17" s="36">
        <f>(1+AJ17^2-AJ39^2)/2</f>
        <v>0.5451907479386211</v>
      </c>
      <c r="AQ17" s="23">
        <v>1</v>
      </c>
      <c r="AR17" s="14">
        <f t="shared" si="0"/>
        <v>2.3570502305451226</v>
      </c>
      <c r="AT17" s="48" t="s">
        <v>22</v>
      </c>
      <c r="AU17" s="36">
        <f>AM17/SUM($AM17:$AP17)</f>
        <v>0.23940179259678207</v>
      </c>
      <c r="AV17" s="36">
        <f>AN17/SUM($AM17:$AP17)</f>
        <v>0.28041771824602907</v>
      </c>
      <c r="AW17" s="36">
        <f>AO17/SUM($AM17:$AP17)</f>
        <v>0.24887835529789781</v>
      </c>
      <c r="AX17" s="36">
        <f>AP17/SUM($AM17:$AP17)</f>
        <v>0.23130213385929119</v>
      </c>
      <c r="AY17" s="37">
        <f>AQ17/SUM($AM17:$AP17)</f>
        <v>0.42425909598402017</v>
      </c>
    </row>
    <row r="18" spans="2:71" ht="20.7" thickBot="1" x14ac:dyDescent="0.8">
      <c r="B18" s="21" t="s">
        <v>23</v>
      </c>
      <c r="C18" s="12" t="s">
        <v>3</v>
      </c>
      <c r="D18" s="23" t="s">
        <v>1</v>
      </c>
      <c r="E18" s="23" t="s">
        <v>1</v>
      </c>
      <c r="F18" s="13" t="s">
        <v>1</v>
      </c>
      <c r="G18" s="12" t="s">
        <v>1</v>
      </c>
      <c r="H18" s="23" t="s">
        <v>4</v>
      </c>
      <c r="I18" s="23" t="s">
        <v>0</v>
      </c>
      <c r="J18" s="13" t="s">
        <v>4</v>
      </c>
      <c r="K18" s="12" t="s">
        <v>4</v>
      </c>
      <c r="L18" s="23" t="s">
        <v>5</v>
      </c>
      <c r="M18" s="23" t="s">
        <v>1</v>
      </c>
      <c r="N18" s="13" t="s">
        <v>4</v>
      </c>
      <c r="O18" s="12" t="s">
        <v>3</v>
      </c>
      <c r="P18" s="23" t="s">
        <v>4</v>
      </c>
      <c r="Q18" s="23" t="s">
        <v>4</v>
      </c>
      <c r="R18" s="13" t="s">
        <v>5</v>
      </c>
      <c r="S18" s="12" t="s">
        <v>5</v>
      </c>
      <c r="T18" s="23" t="s">
        <v>5</v>
      </c>
      <c r="U18" s="23" t="s">
        <v>5</v>
      </c>
      <c r="V18" s="13" t="s">
        <v>5</v>
      </c>
      <c r="W18" s="12" t="s">
        <v>5</v>
      </c>
      <c r="X18" s="23" t="s">
        <v>5</v>
      </c>
      <c r="Y18" s="23" t="s">
        <v>3</v>
      </c>
      <c r="Z18" s="13" t="s">
        <v>4</v>
      </c>
      <c r="AA18" s="12" t="s">
        <v>4</v>
      </c>
      <c r="AB18" s="23" t="s">
        <v>5</v>
      </c>
      <c r="AC18" s="23" t="s">
        <v>1</v>
      </c>
      <c r="AD18" s="24" t="s">
        <v>5</v>
      </c>
      <c r="AF18" s="35" t="s">
        <v>23</v>
      </c>
      <c r="AG18" s="36">
        <f>SQRT(1-((((1-C40^2))^$C$25)*(((1-G40^2))^$G$25)*(((1-K40^2))^$K$25)*(((1-O40^2))^$O$25)*(((1-S40^2))^$S$25)*(((1-W40^2))^$W$25)*(((1-AA40^2))^$AA$25)))</f>
        <v>0.67683708489159289</v>
      </c>
      <c r="AH18" s="36">
        <f>SQRT(1-((((1-D40^2))^$C$25)*(((1-H40^2))^$G$25)*(((1-L40^2))^$K$25)*(((1-P40^2))^$O$25)*(((1-T40^2))^$S$25)*(((1-X40^2))^$W$25)*(((1-AB40^2))^$AA$25)))</f>
        <v>0.75383263867399941</v>
      </c>
      <c r="AI18" s="36">
        <f>SQRT(1-((((1-E40^2))^$C$25)*(((1-I40^2))^$G$25)*(((1-M40^2))^$K$25)*(((1-Q40^2))^$O$25)*(((1-U40^2))^$S$25)*(((1-Y40^2))^$W$25)*(((1-AC40^2))^$AA$25)))</f>
        <v>0.61962412420675039</v>
      </c>
      <c r="AJ18" s="37">
        <f>SQRT(1-((((1-F40^2))^$C$25)*(((1-J40^2))^$G$25)*(((1-N40^2))^$K$25)*(((1-R40^2))^$O$25)*(((1-V40^2))^$S$25)*(((1-Z40^2))^$W$25)*(((1-AD40^2))^$AA$25)))</f>
        <v>0.73907904157199578</v>
      </c>
      <c r="AL18" s="35" t="s">
        <v>23</v>
      </c>
      <c r="AM18" s="36">
        <f>(1+AG18^2-AG40^2)/2</f>
        <v>0.64059677694381789</v>
      </c>
      <c r="AN18" s="36">
        <f>(1+AH18^2-AH40^2)/2</f>
        <v>0.72726575829675599</v>
      </c>
      <c r="AO18" s="36">
        <f>(1+AI18^2-AI40^2)/2</f>
        <v>0.57389854419113429</v>
      </c>
      <c r="AP18" s="36">
        <f>(1+AJ18^2-AJ40^2)/2</f>
        <v>0.71369232170640728</v>
      </c>
      <c r="AQ18" s="23">
        <v>1</v>
      </c>
      <c r="AR18" s="14">
        <f t="shared" si="0"/>
        <v>2.6554534011381152</v>
      </c>
      <c r="AT18" s="48" t="s">
        <v>23</v>
      </c>
      <c r="AU18" s="36">
        <f>AM18/SUM($AM18:$AP18)</f>
        <v>0.24123819181660691</v>
      </c>
      <c r="AV18" s="36">
        <f>AN18/SUM($AM18:$AP18)</f>
        <v>0.27387630224844212</v>
      </c>
      <c r="AW18" s="36">
        <f>AO18/SUM($AM18:$AP18)</f>
        <v>0.21612073627244371</v>
      </c>
      <c r="AX18" s="36">
        <f>AP18/SUM($AM18:$AP18)</f>
        <v>0.26876476966250734</v>
      </c>
      <c r="AY18" s="37">
        <f>AQ18/SUM($AM18:$AP18)</f>
        <v>0.37658352414371293</v>
      </c>
      <c r="BA18" s="31" t="s">
        <v>73</v>
      </c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</row>
    <row r="19" spans="2:71" x14ac:dyDescent="0.55000000000000004">
      <c r="B19" s="21" t="s">
        <v>24</v>
      </c>
      <c r="C19" s="12" t="s">
        <v>3</v>
      </c>
      <c r="D19" s="23" t="s">
        <v>4</v>
      </c>
      <c r="E19" s="23" t="s">
        <v>4</v>
      </c>
      <c r="F19" s="13" t="s">
        <v>3</v>
      </c>
      <c r="G19" s="12" t="s">
        <v>1</v>
      </c>
      <c r="H19" s="23" t="s">
        <v>0</v>
      </c>
      <c r="I19" s="23" t="s">
        <v>5</v>
      </c>
      <c r="J19" s="13" t="s">
        <v>1</v>
      </c>
      <c r="K19" s="12" t="s">
        <v>1</v>
      </c>
      <c r="L19" s="23" t="s">
        <v>3</v>
      </c>
      <c r="M19" s="23" t="s">
        <v>5</v>
      </c>
      <c r="N19" s="13" t="s">
        <v>4</v>
      </c>
      <c r="O19" s="12" t="s">
        <v>4</v>
      </c>
      <c r="P19" s="23" t="s">
        <v>1</v>
      </c>
      <c r="Q19" s="23" t="s">
        <v>1</v>
      </c>
      <c r="R19" s="13" t="s">
        <v>2</v>
      </c>
      <c r="S19" s="12" t="s">
        <v>3</v>
      </c>
      <c r="T19" s="23" t="s">
        <v>3</v>
      </c>
      <c r="U19" s="23" t="s">
        <v>4</v>
      </c>
      <c r="V19" s="13" t="s">
        <v>1</v>
      </c>
      <c r="W19" s="12" t="s">
        <v>1</v>
      </c>
      <c r="X19" s="23" t="s">
        <v>1</v>
      </c>
      <c r="Y19" s="23" t="s">
        <v>4</v>
      </c>
      <c r="Z19" s="13" t="s">
        <v>3</v>
      </c>
      <c r="AA19" s="12" t="s">
        <v>1</v>
      </c>
      <c r="AB19" s="23" t="s">
        <v>0</v>
      </c>
      <c r="AC19" s="23" t="s">
        <v>5</v>
      </c>
      <c r="AD19" s="24" t="s">
        <v>3</v>
      </c>
      <c r="AF19" s="35" t="s">
        <v>24</v>
      </c>
      <c r="AG19" s="36">
        <f>SQRT(1-((((1-C41^2))^$C$25)*(((1-G41^2))^$G$25)*(((1-K41^2))^$K$25)*(((1-O41^2))^$O$25)*(((1-S41^2))^$S$25)*(((1-W41^2))^$W$25)*(((1-AA41^2))^$AA$25)))</f>
        <v>0.58329172715292577</v>
      </c>
      <c r="AH19" s="36">
        <f>SQRT(1-((((1-D41^2))^$C$25)*(((1-H41^2))^$G$25)*(((1-L41^2))^$K$25)*(((1-P41^2))^$O$25)*(((1-T41^2))^$S$25)*(((1-X41^2))^$W$25)*(((1-AB41^2))^$AA$25)))</f>
        <v>0.52722881509757069</v>
      </c>
      <c r="AI19" s="36">
        <f>SQRT(1-((((1-E41^2))^$C$25)*(((1-I41^2))^$G$25)*(((1-M41^2))^$K$25)*(((1-Q41^2))^$O$25)*(((1-U41^2))^$S$25)*(((1-Y41^2))^$W$25)*(((1-AC41^2))^$AA$25)))</f>
        <v>0.73907904157199578</v>
      </c>
      <c r="AJ19" s="37">
        <f>SQRT(1-((((1-F41^2))^$C$25)*(((1-J41^2))^$G$25)*(((1-N41^2))^$K$25)*(((1-R41^2))^$O$25)*(((1-V41^2))^$S$25)*(((1-Z41^2))^$W$25)*(((1-AD41^2))^$AA$25)))</f>
        <v>0.53296678541845932</v>
      </c>
      <c r="AL19" s="35" t="s">
        <v>24</v>
      </c>
      <c r="AM19" s="36">
        <f>(1+AG19^2-AG41^2)/2</f>
        <v>0.53896627970139144</v>
      </c>
      <c r="AN19" s="36">
        <f>(1+AH19^2-AH41^2)/2</f>
        <v>0.47364189832591097</v>
      </c>
      <c r="AO19" s="36">
        <f>(1+AI19^2-AI41^2)/2</f>
        <v>0.71369232170640728</v>
      </c>
      <c r="AP19" s="36">
        <f>(1+AJ19^2-AJ41^2)/2</f>
        <v>0.4775288094551815</v>
      </c>
      <c r="AQ19" s="23">
        <v>1</v>
      </c>
      <c r="AR19" s="14">
        <f t="shared" si="0"/>
        <v>2.2038293091888912</v>
      </c>
      <c r="AT19" s="48" t="s">
        <v>24</v>
      </c>
      <c r="AU19" s="36">
        <f>AM19/SUM($AM19:$AP19)</f>
        <v>0.24455899440767279</v>
      </c>
      <c r="AV19" s="36">
        <f>AN19/SUM($AM19:$AP19)</f>
        <v>0.21491768729595151</v>
      </c>
      <c r="AW19" s="36">
        <f>AO19/SUM($AM19:$AP19)</f>
        <v>0.32384192311566923</v>
      </c>
      <c r="AX19" s="36">
        <f>AP19/SUM($AM19:$AP19)</f>
        <v>0.21668139518070648</v>
      </c>
      <c r="AY19" s="37">
        <f>AQ19/SUM($AM19:$AP19)</f>
        <v>0.45375564969142063</v>
      </c>
      <c r="BA19" s="18"/>
      <c r="BB19" s="19" t="s">
        <v>10</v>
      </c>
      <c r="BC19" s="19" t="s">
        <v>11</v>
      </c>
      <c r="BD19" s="19" t="s">
        <v>12</v>
      </c>
      <c r="BE19" s="19" t="s">
        <v>13</v>
      </c>
      <c r="BF19" s="19" t="s">
        <v>14</v>
      </c>
      <c r="BG19" s="19" t="s">
        <v>15</v>
      </c>
      <c r="BH19" s="19" t="s">
        <v>16</v>
      </c>
      <c r="BI19" s="19" t="s">
        <v>17</v>
      </c>
      <c r="BJ19" s="19" t="s">
        <v>18</v>
      </c>
      <c r="BK19" s="19" t="s">
        <v>19</v>
      </c>
      <c r="BL19" s="19" t="s">
        <v>20</v>
      </c>
      <c r="BM19" s="19" t="s">
        <v>21</v>
      </c>
      <c r="BN19" s="19" t="s">
        <v>22</v>
      </c>
      <c r="BO19" s="19" t="s">
        <v>23</v>
      </c>
      <c r="BP19" s="19" t="s">
        <v>24</v>
      </c>
      <c r="BQ19" s="19" t="s">
        <v>25</v>
      </c>
      <c r="BR19" s="19" t="s">
        <v>26</v>
      </c>
      <c r="BS19" s="20" t="s">
        <v>27</v>
      </c>
    </row>
    <row r="20" spans="2:71" x14ac:dyDescent="0.55000000000000004">
      <c r="B20" s="21" t="s">
        <v>25</v>
      </c>
      <c r="C20" s="12" t="s">
        <v>4</v>
      </c>
      <c r="D20" s="23" t="s">
        <v>3</v>
      </c>
      <c r="E20" s="23" t="s">
        <v>4</v>
      </c>
      <c r="F20" s="13" t="s">
        <v>1</v>
      </c>
      <c r="G20" s="12" t="s">
        <v>0</v>
      </c>
      <c r="H20" s="23" t="s">
        <v>0</v>
      </c>
      <c r="I20" s="23" t="s">
        <v>4</v>
      </c>
      <c r="J20" s="13" t="s">
        <v>3</v>
      </c>
      <c r="K20" s="12" t="s">
        <v>1</v>
      </c>
      <c r="L20" s="23" t="s">
        <v>4</v>
      </c>
      <c r="M20" s="23" t="s">
        <v>1</v>
      </c>
      <c r="N20" s="13" t="s">
        <v>3</v>
      </c>
      <c r="O20" s="12" t="s">
        <v>4</v>
      </c>
      <c r="P20" s="23" t="s">
        <v>4</v>
      </c>
      <c r="Q20" s="23" t="s">
        <v>4</v>
      </c>
      <c r="R20" s="13" t="s">
        <v>4</v>
      </c>
      <c r="S20" s="12" t="s">
        <v>4</v>
      </c>
      <c r="T20" s="23" t="s">
        <v>5</v>
      </c>
      <c r="U20" s="23" t="s">
        <v>4</v>
      </c>
      <c r="V20" s="13" t="s">
        <v>0</v>
      </c>
      <c r="W20" s="12" t="s">
        <v>4</v>
      </c>
      <c r="X20" s="23" t="s">
        <v>0</v>
      </c>
      <c r="Y20" s="23" t="s">
        <v>0</v>
      </c>
      <c r="Z20" s="13" t="s">
        <v>1</v>
      </c>
      <c r="AA20" s="12" t="s">
        <v>1</v>
      </c>
      <c r="AB20" s="23" t="s">
        <v>0</v>
      </c>
      <c r="AC20" s="23" t="s">
        <v>5</v>
      </c>
      <c r="AD20" s="24" t="s">
        <v>3</v>
      </c>
      <c r="AF20" s="35" t="s">
        <v>25</v>
      </c>
      <c r="AG20" s="36">
        <f>SQRT(1-((((1-C42^2))^$C$25)*(((1-G42^2))^$G$25)*(((1-K42^2))^$K$25)*(((1-O42^2))^$O$25)*(((1-S42^2))^$S$25)*(((1-W42^2))^$W$25)*(((1-AA42^2))^$AA$25)))</f>
        <v>0.64183512034955581</v>
      </c>
      <c r="AH20" s="36">
        <f>SQRT(1-((((1-D42^2))^$C$25)*(((1-H42^2))^$G$25)*(((1-L42^2))^$K$25)*(((1-P42^2))^$O$25)*(((1-T42^2))^$S$25)*(((1-X42^2))^$W$25)*(((1-AB42^2))^$AA$25)))</f>
        <v>0.58933628338567423</v>
      </c>
      <c r="AI20" s="36">
        <f>SQRT(1-((((1-E42^2))^$C$25)*(((1-I42^2))^$G$25)*(((1-M42^2))^$K$25)*(((1-Q42^2))^$O$25)*(((1-U42^2))^$S$25)*(((1-Y42^2))^$W$25)*(((1-AC42^2))^$AA$25)))</f>
        <v>0.67701826324092673</v>
      </c>
      <c r="AJ20" s="37">
        <f>SQRT(1-((((1-F42^2))^$C$25)*(((1-J42^2))^$G$25)*(((1-N42^2))^$K$25)*(((1-R42^2))^$O$25)*(((1-V42^2))^$S$25)*(((1-Z42^2))^$W$25)*(((1-AD42^2))^$AA$25)))</f>
        <v>0.53643598005173587</v>
      </c>
      <c r="AL20" s="35" t="s">
        <v>25</v>
      </c>
      <c r="AM20" s="36">
        <f>(1+AG20^2-AG42^2)/2</f>
        <v>0.61260967998138449</v>
      </c>
      <c r="AN20" s="36">
        <f>(1+AH20^2-AH42^2)/2</f>
        <v>0.53922749453133745</v>
      </c>
      <c r="AO20" s="36">
        <f>(1+AI20^2-AI42^2)/2</f>
        <v>0.64848948082389501</v>
      </c>
      <c r="AP20" s="36">
        <f>(1+AJ20^2-AJ42^2)/2</f>
        <v>0.48516244761575739</v>
      </c>
      <c r="AQ20" s="23">
        <v>1</v>
      </c>
      <c r="AR20" s="14">
        <f t="shared" si="0"/>
        <v>2.2854891029523743</v>
      </c>
      <c r="AT20" s="48" t="s">
        <v>25</v>
      </c>
      <c r="AU20" s="36">
        <f>AM20/SUM($AM20:$AP20)</f>
        <v>0.26804314192092221</v>
      </c>
      <c r="AV20" s="36">
        <f>AN20/SUM($AM20:$AP20)</f>
        <v>0.23593527260084865</v>
      </c>
      <c r="AW20" s="36">
        <f>AO20/SUM($AM20:$AP20)</f>
        <v>0.28374210141110806</v>
      </c>
      <c r="AX20" s="36">
        <f>AP20/SUM($AM20:$AP20)</f>
        <v>0.21227948406712108</v>
      </c>
      <c r="AY20" s="37">
        <f>AQ20/SUM($AM20:$AP20)</f>
        <v>0.43754310563467969</v>
      </c>
      <c r="BA20" s="21" t="s">
        <v>31</v>
      </c>
      <c r="BB20" s="36">
        <f>BB13-BB12</f>
        <v>2.8755141231999626E-2</v>
      </c>
      <c r="BC20" s="36">
        <f>BC13-BC12</f>
        <v>3.083813588846876E-2</v>
      </c>
      <c r="BD20" s="36">
        <f>BD13-BD12</f>
        <v>3.9450056854858528E-2</v>
      </c>
      <c r="BE20" s="36">
        <f>BE13-BE12</f>
        <v>1.6291426569992967E-2</v>
      </c>
      <c r="BF20" s="36">
        <f>BF13-BF12</f>
        <v>1.3018438938478705E-2</v>
      </c>
      <c r="BG20" s="36">
        <f>BG13-BG12</f>
        <v>9.2813988166917383E-3</v>
      </c>
      <c r="BH20" s="36">
        <f>BH13-BH12</f>
        <v>1.7789974846995044E-2</v>
      </c>
      <c r="BI20" s="36">
        <f>BI13-BI12</f>
        <v>1.8118302556840937E-2</v>
      </c>
      <c r="BJ20" s="36">
        <f>BJ13-BJ12</f>
        <v>2.3531126203907404E-2</v>
      </c>
      <c r="BK20" s="36">
        <f>BK13-BK12</f>
        <v>3.4281055971316143E-2</v>
      </c>
      <c r="BL20" s="36">
        <f>BL13-BL12</f>
        <v>3.1136469939511108E-2</v>
      </c>
      <c r="BM20" s="36">
        <f>BM13-BM12</f>
        <v>1.3061378531217249E-3</v>
      </c>
      <c r="BN20" s="36">
        <f>BN13-BN12</f>
        <v>8.0996587374908835E-3</v>
      </c>
      <c r="BO20" s="36">
        <f>BO13-BO12</f>
        <v>2.5117455544163197E-2</v>
      </c>
      <c r="BP20" s="36">
        <f>BP13-BP12</f>
        <v>1.763707884754967E-3</v>
      </c>
      <c r="BQ20" s="36">
        <f>BQ13-BQ12</f>
        <v>2.3655788533727573E-2</v>
      </c>
      <c r="BR20" s="36">
        <f>BR13-BR12</f>
        <v>3.5997027547987059E-3</v>
      </c>
      <c r="BS20" s="37">
        <f>BS13-BS12</f>
        <v>1.4014336033364966E-2</v>
      </c>
    </row>
    <row r="21" spans="2:71" x14ac:dyDescent="0.55000000000000004">
      <c r="B21" s="21" t="s">
        <v>26</v>
      </c>
      <c r="C21" s="12" t="s">
        <v>1</v>
      </c>
      <c r="D21" s="23" t="s">
        <v>4</v>
      </c>
      <c r="E21" s="23" t="s">
        <v>4</v>
      </c>
      <c r="F21" s="13" t="s">
        <v>1</v>
      </c>
      <c r="G21" s="12" t="s">
        <v>1</v>
      </c>
      <c r="H21" s="23" t="s">
        <v>4</v>
      </c>
      <c r="I21" s="23" t="s">
        <v>0</v>
      </c>
      <c r="J21" s="13" t="s">
        <v>1</v>
      </c>
      <c r="K21" s="12" t="s">
        <v>1</v>
      </c>
      <c r="L21" s="23" t="s">
        <v>5</v>
      </c>
      <c r="M21" s="23" t="s">
        <v>3</v>
      </c>
      <c r="N21" s="13" t="s">
        <v>1</v>
      </c>
      <c r="O21" s="12" t="s">
        <v>4</v>
      </c>
      <c r="P21" s="23" t="s">
        <v>4</v>
      </c>
      <c r="Q21" s="23" t="s">
        <v>5</v>
      </c>
      <c r="R21" s="13" t="s">
        <v>4</v>
      </c>
      <c r="S21" s="12" t="s">
        <v>5</v>
      </c>
      <c r="T21" s="23" t="s">
        <v>5</v>
      </c>
      <c r="U21" s="23" t="s">
        <v>4</v>
      </c>
      <c r="V21" s="13" t="s">
        <v>4</v>
      </c>
      <c r="W21" s="12" t="s">
        <v>5</v>
      </c>
      <c r="X21" s="23" t="s">
        <v>4</v>
      </c>
      <c r="Y21" s="23" t="s">
        <v>4</v>
      </c>
      <c r="Z21" s="13" t="s">
        <v>3</v>
      </c>
      <c r="AA21" s="12" t="s">
        <v>4</v>
      </c>
      <c r="AB21" s="23" t="s">
        <v>5</v>
      </c>
      <c r="AC21" s="23" t="s">
        <v>0</v>
      </c>
      <c r="AD21" s="24" t="s">
        <v>1</v>
      </c>
      <c r="AF21" s="35" t="s">
        <v>26</v>
      </c>
      <c r="AG21" s="36">
        <f>SQRT(1-((((1-C43^2))^$C$25)*(((1-G43^2))^$G$25)*(((1-K43^2))^$K$25)*(((1-O43^2))^$O$25)*(((1-S43^2))^$S$25)*(((1-W43^2))^$W$25)*(((1-AA43^2))^$AA$25)))</f>
        <v>0.70080221884432226</v>
      </c>
      <c r="AH21" s="36">
        <f>SQRT(1-((((1-D43^2))^$C$25)*(((1-H43^2))^$G$25)*(((1-L43^2))^$K$25)*(((1-P43^2))^$O$25)*(((1-T43^2))^$S$25)*(((1-X43^2))^$W$25)*(((1-AB43^2))^$AA$25)))</f>
        <v>0.74881256752394776</v>
      </c>
      <c r="AI21" s="36">
        <f>SQRT(1-((((1-E43^2))^$C$25)*(((1-I43^2))^$G$25)*(((1-M43^2))^$K$25)*(((1-Q43^2))^$O$25)*(((1-U43^2))^$S$25)*(((1-Y43^2))^$W$25)*(((1-AC43^2))^$AA$25)))</f>
        <v>0.62928856072200101</v>
      </c>
      <c r="AJ21" s="37">
        <f>SQRT(1-((((1-F43^2))^$C$25)*(((1-J43^2))^$G$25)*(((1-N43^2))^$K$25)*(((1-R43^2))^$O$25)*(((1-V43^2))^$S$25)*(((1-Z43^2))^$W$25)*(((1-AD43^2))^$AA$25)))</f>
        <v>0.61729215054677034</v>
      </c>
      <c r="AL21" s="35" t="s">
        <v>26</v>
      </c>
      <c r="AM21" s="36">
        <f>(1+AG21^2-AG43^2)/2</f>
        <v>0.66941994279782147</v>
      </c>
      <c r="AN21" s="36">
        <f>(1+AH21^2-AH43^2)/2</f>
        <v>0.72669117670739525</v>
      </c>
      <c r="AO21" s="36">
        <f>(1+AI21^2-AI43^2)/2</f>
        <v>0.58987598894421833</v>
      </c>
      <c r="AP21" s="36">
        <f>(1+AJ21^2-AJ43^2)/2</f>
        <v>0.58063690541099244</v>
      </c>
      <c r="AQ21" s="23">
        <v>1</v>
      </c>
      <c r="AR21" s="14">
        <f t="shared" si="0"/>
        <v>2.5666240138604275</v>
      </c>
      <c r="AT21" s="48" t="s">
        <v>26</v>
      </c>
      <c r="AU21" s="36">
        <f>AM21/SUM($AM21:$AP21)</f>
        <v>0.26081729898215794</v>
      </c>
      <c r="AV21" s="36">
        <f>AN21/SUM($AM21:$AP21)</f>
        <v>0.28313113754997876</v>
      </c>
      <c r="AW21" s="36">
        <f>AO21/SUM($AM21:$AP21)</f>
        <v>0.229825633111331</v>
      </c>
      <c r="AX21" s="36">
        <f>AP21/SUM($AM21:$AP21)</f>
        <v>0.2262259303565323</v>
      </c>
      <c r="AY21" s="37">
        <f>AQ21/SUM($AM21:$AP21)</f>
        <v>0.38961686425426695</v>
      </c>
      <c r="BA21" s="21" t="s">
        <v>32</v>
      </c>
      <c r="BB21" s="36">
        <f>BB14-BB13</f>
        <v>3.1730881520744575E-2</v>
      </c>
      <c r="BC21" s="36">
        <f>BC14-BC13</f>
        <v>0.10073878668529987</v>
      </c>
      <c r="BD21" s="36">
        <f>BD14-BD13</f>
        <v>1.2567523970822836E-3</v>
      </c>
      <c r="BE21" s="36">
        <f>BE14-BE13</f>
        <v>1.108960667347364E-3</v>
      </c>
      <c r="BF21" s="36">
        <f>BF14-BF13</f>
        <v>6.5152663021877111E-3</v>
      </c>
      <c r="BG21" s="36">
        <f>BG14-BG13</f>
        <v>1.5027613987761673E-2</v>
      </c>
      <c r="BH21" s="36">
        <f>BH14-BH13</f>
        <v>6.9234412862198003E-3</v>
      </c>
      <c r="BI21" s="36">
        <f>BI14-BI13</f>
        <v>7.9149015929786681E-3</v>
      </c>
      <c r="BJ21" s="36">
        <f>BJ14-BJ13</f>
        <v>1.7453194116491433E-2</v>
      </c>
      <c r="BK21" s="36">
        <f>BK14-BK13</f>
        <v>2.6268729285928105E-2</v>
      </c>
      <c r="BL21" s="36">
        <f>BL14-BL13</f>
        <v>0</v>
      </c>
      <c r="BM21" s="36">
        <f>BM14-BM13</f>
        <v>4.6806546731555376E-3</v>
      </c>
      <c r="BN21" s="36">
        <f>BN14-BN13</f>
        <v>9.4765627011157427E-3</v>
      </c>
      <c r="BO21" s="36">
        <f>BO14-BO13</f>
        <v>2.752657784590043E-2</v>
      </c>
      <c r="BP21" s="36">
        <f>BP14-BP13</f>
        <v>2.787759922696631E-2</v>
      </c>
      <c r="BQ21" s="36">
        <f>BQ14-BQ13</f>
        <v>3.2107869320073562E-2</v>
      </c>
      <c r="BR21" s="36">
        <f>BR14-BR13</f>
        <v>3.099166587082694E-2</v>
      </c>
      <c r="BS21" s="37">
        <f>BS14-BS13</f>
        <v>4.1147702255360796E-2</v>
      </c>
    </row>
    <row r="22" spans="2:71" ht="14.7" thickBot="1" x14ac:dyDescent="0.6">
      <c r="B22" s="25" t="s">
        <v>27</v>
      </c>
      <c r="C22" s="26" t="s">
        <v>1</v>
      </c>
      <c r="D22" s="27" t="s">
        <v>1</v>
      </c>
      <c r="E22" s="27" t="s">
        <v>4</v>
      </c>
      <c r="F22" s="28" t="s">
        <v>1</v>
      </c>
      <c r="G22" s="26" t="s">
        <v>3</v>
      </c>
      <c r="H22" s="27" t="s">
        <v>0</v>
      </c>
      <c r="I22" s="27" t="s">
        <v>4</v>
      </c>
      <c r="J22" s="28" t="s">
        <v>4</v>
      </c>
      <c r="K22" s="26" t="s">
        <v>3</v>
      </c>
      <c r="L22" s="27" t="s">
        <v>1</v>
      </c>
      <c r="M22" s="27" t="s">
        <v>4</v>
      </c>
      <c r="N22" s="28" t="s">
        <v>1</v>
      </c>
      <c r="O22" s="26" t="s">
        <v>4</v>
      </c>
      <c r="P22" s="27" t="s">
        <v>4</v>
      </c>
      <c r="Q22" s="27" t="s">
        <v>5</v>
      </c>
      <c r="R22" s="28" t="s">
        <v>5</v>
      </c>
      <c r="S22" s="26" t="s">
        <v>0</v>
      </c>
      <c r="T22" s="27" t="s">
        <v>4</v>
      </c>
      <c r="U22" s="27" t="s">
        <v>1</v>
      </c>
      <c r="V22" s="28" t="s">
        <v>4</v>
      </c>
      <c r="W22" s="26" t="s">
        <v>4</v>
      </c>
      <c r="X22" s="27" t="s">
        <v>3</v>
      </c>
      <c r="Y22" s="27" t="s">
        <v>4</v>
      </c>
      <c r="Z22" s="28" t="s">
        <v>1</v>
      </c>
      <c r="AA22" s="26" t="s">
        <v>4</v>
      </c>
      <c r="AB22" s="27" t="s">
        <v>0</v>
      </c>
      <c r="AC22" s="27" t="s">
        <v>3</v>
      </c>
      <c r="AD22" s="29" t="s">
        <v>5</v>
      </c>
      <c r="AF22" s="38" t="s">
        <v>27</v>
      </c>
      <c r="AG22" s="39">
        <f>SQRT(1-((((1-C44^2))^$C$25)*(((1-G44^2))^$G$25)*(((1-K44^2))^$K$25)*(((1-O44^2))^$O$25)*(((1-S44^2))^$S$25)*(((1-W44^2))^$W$25)*(((1-AA44^2))^$AA$25)))</f>
        <v>0.59426891748441601</v>
      </c>
      <c r="AH22" s="39">
        <f>SQRT(1-((((1-D44^2))^$C$25)*(((1-H44^2))^$G$25)*(((1-L44^2))^$K$25)*(((1-P44^2))^$O$25)*(((1-T44^2))^$S$25)*(((1-X44^2))^$W$25)*(((1-AB44^2))^$AA$25)))</f>
        <v>0.56801635654551208</v>
      </c>
      <c r="AI22" s="39">
        <f>SQRT(1-((((1-E44^2))^$C$25)*(((1-I44^2))^$G$25)*(((1-M44^2))^$K$25)*(((1-Q44^2))^$O$25)*(((1-U44^2))^$S$25)*(((1-Y44^2))^$W$25)*(((1-AC44^2))^$AA$25)))</f>
        <v>0.6824224591407434</v>
      </c>
      <c r="AJ22" s="40">
        <f>SQRT(1-((((1-F44^2))^$C$25)*(((1-J44^2))^$G$25)*(((1-N44^2))^$K$25)*(((1-R44^2))^$O$25)*(((1-V44^2))^$S$25)*(((1-Z44^2))^$W$25)*(((1-AD44^2))^$AA$25)))</f>
        <v>0.70080221884432237</v>
      </c>
      <c r="AL22" s="38" t="s">
        <v>27</v>
      </c>
      <c r="AM22" s="39">
        <f>(1+AG22^2-AG44^2)/2</f>
        <v>0.55647330074320533</v>
      </c>
      <c r="AN22" s="39">
        <f>(1+AH22^2-AH44^2)/2</f>
        <v>0.52278185077626449</v>
      </c>
      <c r="AO22" s="39">
        <f>(1+AI22^2-AI44^2)/2</f>
        <v>0.65539527239355944</v>
      </c>
      <c r="AP22" s="39">
        <f>(1+AJ22^2-AJ44^2)/2</f>
        <v>0.66941994279782158</v>
      </c>
      <c r="AQ22" s="27">
        <v>1</v>
      </c>
      <c r="AR22" s="15">
        <f t="shared" si="0"/>
        <v>2.4040703667108509</v>
      </c>
      <c r="AT22" s="3" t="s">
        <v>27</v>
      </c>
      <c r="AU22" s="39">
        <f>AM22/SUM($AM22:$AP22)</f>
        <v>0.23147130319007631</v>
      </c>
      <c r="AV22" s="39">
        <f>AN22/SUM($AM22:$AP22)</f>
        <v>0.21745696715671134</v>
      </c>
      <c r="AW22" s="39">
        <f>AO22/SUM($AM22:$AP22)</f>
        <v>0.2726190054454371</v>
      </c>
      <c r="AX22" s="39">
        <f>AP22/SUM($AM22:$AP22)</f>
        <v>0.27845272420777523</v>
      </c>
      <c r="AY22" s="40">
        <f>AQ22/SUM($AM22:$AP22)</f>
        <v>0.4159612022372533</v>
      </c>
      <c r="BA22" s="21" t="s">
        <v>33</v>
      </c>
      <c r="BB22" s="36">
        <f>BB15-BB14</f>
        <v>5.6389638507483353E-2</v>
      </c>
      <c r="BC22" s="36">
        <f>BC15-BC14</f>
        <v>6.8729519509735937E-4</v>
      </c>
      <c r="BD22" s="36">
        <f>BD15-BD14</f>
        <v>1.7820190775161115E-2</v>
      </c>
      <c r="BE22" s="36">
        <f>BE15-BE14</f>
        <v>1.4189287290907737E-2</v>
      </c>
      <c r="BF22" s="36">
        <f>BF15-BF14</f>
        <v>5.2679055864591429E-2</v>
      </c>
      <c r="BG22" s="36">
        <f>BG15-BG14</f>
        <v>1.9699070308481781E-2</v>
      </c>
      <c r="BH22" s="36">
        <f>BH15-BH14</f>
        <v>3.9595218115127812E-2</v>
      </c>
      <c r="BI22" s="36">
        <f>BI15-BI14</f>
        <v>5.9933694858472664E-2</v>
      </c>
      <c r="BJ22" s="36">
        <f>BJ15-BJ14</f>
        <v>1.6155074082208065E-3</v>
      </c>
      <c r="BK22" s="36">
        <f>BK15-BK14</f>
        <v>2.6813711886683966E-2</v>
      </c>
      <c r="BL22" s="36">
        <f>BL15-BL14</f>
        <v>6.4827657892335855E-2</v>
      </c>
      <c r="BM22" s="36">
        <f>BM15-BM14</f>
        <v>1.4664121330199009E-4</v>
      </c>
      <c r="BN22" s="36">
        <f>BN15-BN14</f>
        <v>3.1539362948131255E-2</v>
      </c>
      <c r="BO22" s="36">
        <f>BO15-BO14</f>
        <v>5.1115325859347749E-3</v>
      </c>
      <c r="BP22" s="36">
        <f>BP15-BP14</f>
        <v>7.9282928707996442E-2</v>
      </c>
      <c r="BQ22" s="36">
        <f>BQ15-BQ14</f>
        <v>1.5698959490185849E-2</v>
      </c>
      <c r="BR22" s="36">
        <f>BR15-BR14</f>
        <v>2.2313838567820821E-2</v>
      </c>
      <c r="BS22" s="37">
        <f>BS15-BS14</f>
        <v>5.8337187623381248E-3</v>
      </c>
    </row>
    <row r="23" spans="2:71" ht="14.7" thickBot="1" x14ac:dyDescent="0.6">
      <c r="BA23" s="25" t="s">
        <v>34</v>
      </c>
      <c r="BB23" s="39">
        <f>BB16-BB15</f>
        <v>0.17421467262137963</v>
      </c>
      <c r="BC23" s="39">
        <f>BC16-BC15</f>
        <v>0.27480720419295251</v>
      </c>
      <c r="BD23" s="39">
        <f>BD16-BD15</f>
        <v>0.21462316099508189</v>
      </c>
      <c r="BE23" s="39">
        <f>BE16-BE15</f>
        <v>0.13947774657778406</v>
      </c>
      <c r="BF23" s="39">
        <f>BF16-BF15</f>
        <v>0.16059465866066452</v>
      </c>
      <c r="BG23" s="39">
        <f>BG16-BG15</f>
        <v>0.12632790909576502</v>
      </c>
      <c r="BH23" s="39">
        <f>BH16-BH15</f>
        <v>9.4837599219525448E-2</v>
      </c>
      <c r="BI23" s="39">
        <f>BI16-BI15</f>
        <v>0.10005807265353167</v>
      </c>
      <c r="BJ23" s="39">
        <f>BJ16-BJ15</f>
        <v>0.12228542540664589</v>
      </c>
      <c r="BK23" s="39">
        <f>BK16-BK15</f>
        <v>0.1027081438333482</v>
      </c>
      <c r="BL23" s="39">
        <f>BL16-BL15</f>
        <v>0.12329372584305193</v>
      </c>
      <c r="BM23" s="39">
        <f>BM16-BM15</f>
        <v>0.1432523498127572</v>
      </c>
      <c r="BN23" s="39">
        <f>BN16-BN15</f>
        <v>0.14384137773799111</v>
      </c>
      <c r="BO23" s="39">
        <f>BO16-BO15</f>
        <v>0.10270722189527082</v>
      </c>
      <c r="BP23" s="39">
        <f>BP16-BP15</f>
        <v>0.1299137265757514</v>
      </c>
      <c r="BQ23" s="39">
        <f>BQ16-BQ15</f>
        <v>0.15380100422357162</v>
      </c>
      <c r="BR23" s="39">
        <f>BR16-BR15</f>
        <v>0.10648572670428819</v>
      </c>
      <c r="BS23" s="40">
        <f>BS16-BS15</f>
        <v>0.13750847802947808</v>
      </c>
    </row>
    <row r="24" spans="2:71" ht="20.399999999999999" x14ac:dyDescent="0.75">
      <c r="B24" s="33" t="s">
        <v>66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F24" s="33" t="s">
        <v>67</v>
      </c>
      <c r="AG24" s="32"/>
      <c r="AH24" s="32"/>
      <c r="AI24" s="32"/>
      <c r="AJ24" s="32"/>
    </row>
    <row r="25" spans="2:71" ht="20.7" thickBot="1" x14ac:dyDescent="0.8">
      <c r="B25" t="s">
        <v>68</v>
      </c>
      <c r="C25" s="2">
        <f>1/7</f>
        <v>0.14285714285714285</v>
      </c>
      <c r="D25" s="2"/>
      <c r="E25" s="2"/>
      <c r="F25" s="2"/>
      <c r="G25" s="2">
        <f>1/7</f>
        <v>0.14285714285714285</v>
      </c>
      <c r="H25" s="2"/>
      <c r="I25" s="2"/>
      <c r="J25" s="2"/>
      <c r="K25" s="2">
        <f>1/7</f>
        <v>0.14285714285714285</v>
      </c>
      <c r="L25" s="2"/>
      <c r="M25" s="2"/>
      <c r="N25" s="2"/>
      <c r="O25" s="2">
        <f>1/7</f>
        <v>0.14285714285714285</v>
      </c>
      <c r="P25" s="2"/>
      <c r="Q25" s="2"/>
      <c r="R25" s="2"/>
      <c r="S25" s="2">
        <f>1/7</f>
        <v>0.14285714285714285</v>
      </c>
      <c r="T25" s="2"/>
      <c r="U25" s="2"/>
      <c r="V25" s="2"/>
      <c r="W25" s="2">
        <f>1/7</f>
        <v>0.14285714285714285</v>
      </c>
      <c r="X25" s="2"/>
      <c r="Y25" s="2"/>
      <c r="Z25" s="2"/>
      <c r="AA25" s="2">
        <f>1/7</f>
        <v>0.14285714285714285</v>
      </c>
      <c r="AB25" s="2"/>
      <c r="AC25" s="2"/>
      <c r="AD25" s="2"/>
      <c r="BA25" s="31" t="s">
        <v>74</v>
      </c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</row>
    <row r="26" spans="2:71" x14ac:dyDescent="0.55000000000000004">
      <c r="B26" s="30"/>
      <c r="C26" s="19" t="s">
        <v>6</v>
      </c>
      <c r="D26" s="19" t="s">
        <v>7</v>
      </c>
      <c r="E26" s="19" t="s">
        <v>8</v>
      </c>
      <c r="F26" s="19" t="s">
        <v>9</v>
      </c>
      <c r="G26" s="19" t="s">
        <v>6</v>
      </c>
      <c r="H26" s="19" t="s">
        <v>7</v>
      </c>
      <c r="I26" s="19" t="s">
        <v>8</v>
      </c>
      <c r="J26" s="19" t="s">
        <v>9</v>
      </c>
      <c r="K26" s="19" t="s">
        <v>6</v>
      </c>
      <c r="L26" s="19" t="s">
        <v>7</v>
      </c>
      <c r="M26" s="19" t="s">
        <v>8</v>
      </c>
      <c r="N26" s="19" t="s">
        <v>9</v>
      </c>
      <c r="O26" s="19" t="s">
        <v>6</v>
      </c>
      <c r="P26" s="19" t="s">
        <v>7</v>
      </c>
      <c r="Q26" s="19" t="s">
        <v>8</v>
      </c>
      <c r="R26" s="19" t="s">
        <v>9</v>
      </c>
      <c r="S26" s="19" t="s">
        <v>6</v>
      </c>
      <c r="T26" s="19" t="s">
        <v>7</v>
      </c>
      <c r="U26" s="19" t="s">
        <v>8</v>
      </c>
      <c r="V26" s="19" t="s">
        <v>9</v>
      </c>
      <c r="W26" s="19" t="s">
        <v>6</v>
      </c>
      <c r="X26" s="19" t="s">
        <v>7</v>
      </c>
      <c r="Y26" s="19" t="s">
        <v>8</v>
      </c>
      <c r="Z26" s="19" t="s">
        <v>9</v>
      </c>
      <c r="AA26" s="19" t="s">
        <v>6</v>
      </c>
      <c r="AB26" s="19" t="s">
        <v>7</v>
      </c>
      <c r="AC26" s="19" t="s">
        <v>8</v>
      </c>
      <c r="AD26" s="20" t="s">
        <v>9</v>
      </c>
      <c r="AF26" s="34"/>
      <c r="AG26" s="19" t="s">
        <v>6</v>
      </c>
      <c r="AH26" s="19" t="s">
        <v>7</v>
      </c>
      <c r="AI26" s="19" t="s">
        <v>8</v>
      </c>
      <c r="AJ26" s="20" t="s">
        <v>9</v>
      </c>
      <c r="BA26" s="50" t="s">
        <v>35</v>
      </c>
      <c r="BB26" s="19">
        <v>0.1</v>
      </c>
      <c r="BC26" s="19">
        <v>0.1</v>
      </c>
      <c r="BD26" s="19">
        <v>0.1</v>
      </c>
      <c r="BE26" s="19">
        <v>0.05</v>
      </c>
      <c r="BF26" s="19">
        <v>0.05</v>
      </c>
      <c r="BG26" s="19">
        <v>0.05</v>
      </c>
      <c r="BH26" s="19">
        <v>0.1</v>
      </c>
      <c r="BI26" s="19">
        <v>0.1</v>
      </c>
      <c r="BJ26" s="19">
        <v>0.03</v>
      </c>
      <c r="BK26" s="19">
        <v>0.03</v>
      </c>
      <c r="BL26" s="19">
        <v>0.1</v>
      </c>
      <c r="BM26" s="19">
        <v>0.1</v>
      </c>
      <c r="BN26" s="19">
        <v>0.15</v>
      </c>
      <c r="BO26" s="19">
        <v>0.1</v>
      </c>
      <c r="BP26" s="19">
        <v>0.15</v>
      </c>
      <c r="BQ26" s="19">
        <v>0.15</v>
      </c>
      <c r="BR26" s="19">
        <v>0.05</v>
      </c>
      <c r="BS26" s="20">
        <v>0.15</v>
      </c>
    </row>
    <row r="27" spans="2:71" x14ac:dyDescent="0.55000000000000004">
      <c r="B27" s="21" t="s">
        <v>10</v>
      </c>
      <c r="C27" s="9">
        <f>IF(C5="VG",0.8,IF(C5="G",0.7,IF(C5="MG",0.6,IF(C5="F",0.45,IF(C5="MP",0.35,IF(C5="P",0.3,IF(C5="VP",0.2,"ERROR")))))))</f>
        <v>0.35</v>
      </c>
      <c r="D27" s="10">
        <f t="shared" ref="D27:AD27" si="1">IF(D5="VG",0.8,IF(D5="G",0.7,IF(D5="MG",0.6,IF(D5="F",0.45,IF(D5="MP",0.35,IF(D5="P",0.3,IF(D5="VP",0.2,"ERROR")))))))</f>
        <v>0.6</v>
      </c>
      <c r="E27" s="10">
        <f t="shared" si="1"/>
        <v>0.3</v>
      </c>
      <c r="F27" s="11">
        <f t="shared" si="1"/>
        <v>0.35</v>
      </c>
      <c r="G27" s="9">
        <f t="shared" si="1"/>
        <v>0.35</v>
      </c>
      <c r="H27" s="10">
        <f t="shared" si="1"/>
        <v>0.45</v>
      </c>
      <c r="I27" s="10">
        <f t="shared" si="1"/>
        <v>0.7</v>
      </c>
      <c r="J27" s="11">
        <f t="shared" si="1"/>
        <v>0.3</v>
      </c>
      <c r="K27" s="9">
        <f t="shared" si="1"/>
        <v>0.45</v>
      </c>
      <c r="L27" s="10">
        <f t="shared" si="1"/>
        <v>0.6</v>
      </c>
      <c r="M27" s="10">
        <f t="shared" si="1"/>
        <v>0.7</v>
      </c>
      <c r="N27" s="11">
        <f t="shared" si="1"/>
        <v>0.7</v>
      </c>
      <c r="O27" s="9">
        <f t="shared" si="1"/>
        <v>0.3</v>
      </c>
      <c r="P27" s="10">
        <f t="shared" si="1"/>
        <v>0.6</v>
      </c>
      <c r="Q27" s="10">
        <f t="shared" si="1"/>
        <v>0.6</v>
      </c>
      <c r="R27" s="11">
        <f t="shared" si="1"/>
        <v>0.3</v>
      </c>
      <c r="S27" s="9">
        <f t="shared" si="1"/>
        <v>0.3</v>
      </c>
      <c r="T27" s="10">
        <f t="shared" si="1"/>
        <v>0.6</v>
      </c>
      <c r="U27" s="10">
        <f t="shared" si="1"/>
        <v>0.7</v>
      </c>
      <c r="V27" s="11">
        <f t="shared" si="1"/>
        <v>0.8</v>
      </c>
      <c r="W27" s="9">
        <f t="shared" si="1"/>
        <v>0.7</v>
      </c>
      <c r="X27" s="10">
        <f t="shared" si="1"/>
        <v>0.7</v>
      </c>
      <c r="Y27" s="10">
        <f t="shared" si="1"/>
        <v>0.8</v>
      </c>
      <c r="Z27" s="11">
        <f t="shared" si="1"/>
        <v>0.35</v>
      </c>
      <c r="AA27" s="9">
        <f t="shared" si="1"/>
        <v>0.6</v>
      </c>
      <c r="AB27" s="10">
        <f t="shared" si="1"/>
        <v>0.35</v>
      </c>
      <c r="AC27" s="10">
        <f t="shared" si="1"/>
        <v>0.7</v>
      </c>
      <c r="AD27" s="22">
        <f t="shared" si="1"/>
        <v>0.45</v>
      </c>
      <c r="AF27" s="35" t="s">
        <v>10</v>
      </c>
      <c r="AG27" s="41">
        <f>(C48^$C$25)*(G48^$G$25)*(K48^$K$25)*(O48^$O$25)*(S48^$S$25)*(W48^$W$25)*(AA48^$AA$25)</f>
        <v>0.64457448743537538</v>
      </c>
      <c r="AH27" s="41">
        <f>(D48^$C$25)*(H48^$G$25)*(L48^$K$25)*(P48^$O$25)*(T48^$S$25)*(X48^$W$25)*(AB48^$AA$25)</f>
        <v>0.5227266820936618</v>
      </c>
      <c r="AI27" s="41">
        <f>(E48^$C$25)*(I48^$G$25)*(M48^$K$25)*(Q48^$O$25)*(U48^$S$25)*(Y48^$W$25)*(AC48^$AA$25)</f>
        <v>0.40896222464637355</v>
      </c>
      <c r="AJ27" s="42">
        <f>(F48^$C$25)*(J48^$G$25)*(N48^$K$25)*(R48^$O$25)*(V48^$S$25)*(Z48^$W$25)*(AD48^$AA$25)</f>
        <v>0.59921190524965673</v>
      </c>
      <c r="BA27" s="51"/>
      <c r="BB27" s="36" cm="1">
        <f t="array" ref="BB27:BS27">TRANSPOSE(AR5:AR22)</f>
        <v>2.0426458386573403</v>
      </c>
      <c r="BC27" s="36">
        <v>1.7140851088207913</v>
      </c>
      <c r="BD27" s="36">
        <v>2.0471700970738387</v>
      </c>
      <c r="BE27" s="36">
        <v>2.4706789151792115</v>
      </c>
      <c r="BF27" s="36">
        <v>2.1900230748624159</v>
      </c>
      <c r="BG27" s="36">
        <v>2.4941613645038956</v>
      </c>
      <c r="BH27" s="36">
        <v>2.6147671836785555</v>
      </c>
      <c r="BI27" s="36">
        <v>2.4783431825310251</v>
      </c>
      <c r="BJ27" s="36">
        <v>2.5766127817558671</v>
      </c>
      <c r="BK27" s="36">
        <v>2.5347061060641329</v>
      </c>
      <c r="BL27" s="36">
        <v>2.3272126808002795</v>
      </c>
      <c r="BM27" s="36">
        <v>2.5250663811682368</v>
      </c>
      <c r="BN27" s="36">
        <v>2.3570502305451226</v>
      </c>
      <c r="BO27" s="36">
        <v>2.6554534011381152</v>
      </c>
      <c r="BP27" s="36">
        <v>2.2038293091888912</v>
      </c>
      <c r="BQ27" s="36">
        <v>2.2854891029523743</v>
      </c>
      <c r="BR27" s="36">
        <v>2.5666240138604275</v>
      </c>
      <c r="BS27" s="37">
        <v>2.4040703667108509</v>
      </c>
    </row>
    <row r="28" spans="2:71" ht="14.7" thickBot="1" x14ac:dyDescent="0.6">
      <c r="B28" s="21" t="s">
        <v>11</v>
      </c>
      <c r="C28" s="12">
        <f t="shared" ref="C28:AD28" si="2">IF(C6="VG",0.8,IF(C6="G",0.7,IF(C6="MG",0.6,IF(C6="F",0.45,IF(C6="MP",0.35,IF(C6="P",0.3,IF(C6="VP",0.2,"ERROR")))))))</f>
        <v>0.35</v>
      </c>
      <c r="D28" s="23">
        <f t="shared" si="2"/>
        <v>0.6</v>
      </c>
      <c r="E28" s="23">
        <f t="shared" si="2"/>
        <v>0.3</v>
      </c>
      <c r="F28" s="13">
        <f t="shared" si="2"/>
        <v>0.35</v>
      </c>
      <c r="G28" s="12">
        <f t="shared" si="2"/>
        <v>0.35</v>
      </c>
      <c r="H28" s="23">
        <f t="shared" si="2"/>
        <v>0.6</v>
      </c>
      <c r="I28" s="23">
        <f t="shared" si="2"/>
        <v>0.3</v>
      </c>
      <c r="J28" s="13">
        <f t="shared" si="2"/>
        <v>0.35</v>
      </c>
      <c r="K28" s="12">
        <f t="shared" si="2"/>
        <v>0.45</v>
      </c>
      <c r="L28" s="23">
        <f t="shared" si="2"/>
        <v>0.6</v>
      </c>
      <c r="M28" s="23">
        <f t="shared" si="2"/>
        <v>0.6</v>
      </c>
      <c r="N28" s="13">
        <f t="shared" si="2"/>
        <v>0.45</v>
      </c>
      <c r="O28" s="12">
        <f t="shared" si="2"/>
        <v>0.3</v>
      </c>
      <c r="P28" s="23">
        <f t="shared" si="2"/>
        <v>0.6</v>
      </c>
      <c r="Q28" s="23">
        <f t="shared" si="2"/>
        <v>0.6</v>
      </c>
      <c r="R28" s="13">
        <f t="shared" si="2"/>
        <v>0.3</v>
      </c>
      <c r="S28" s="12">
        <f t="shared" si="2"/>
        <v>0.2</v>
      </c>
      <c r="T28" s="23">
        <f t="shared" si="2"/>
        <v>0.7</v>
      </c>
      <c r="U28" s="23">
        <f t="shared" si="2"/>
        <v>0.6</v>
      </c>
      <c r="V28" s="13">
        <f t="shared" si="2"/>
        <v>0.35</v>
      </c>
      <c r="W28" s="12">
        <f t="shared" si="2"/>
        <v>0.35</v>
      </c>
      <c r="X28" s="23">
        <f t="shared" si="2"/>
        <v>0.45</v>
      </c>
      <c r="Y28" s="23">
        <f t="shared" si="2"/>
        <v>0.8</v>
      </c>
      <c r="Z28" s="13">
        <f t="shared" si="2"/>
        <v>0.35</v>
      </c>
      <c r="AA28" s="12">
        <f t="shared" si="2"/>
        <v>0.7</v>
      </c>
      <c r="AB28" s="23">
        <f t="shared" si="2"/>
        <v>0.35</v>
      </c>
      <c r="AC28" s="23">
        <f t="shared" si="2"/>
        <v>0.6</v>
      </c>
      <c r="AD28" s="24">
        <f t="shared" si="2"/>
        <v>0.45</v>
      </c>
      <c r="AF28" s="35" t="s">
        <v>11</v>
      </c>
      <c r="AG28" s="41">
        <f>(C49^$C$25)*(G49^$G$25)*(K49^$K$25)*(O49^$O$25)*(S49^$S$25)*(W49^$W$25)*(AA49^$AA$25)</f>
        <v>0.6886130238551772</v>
      </c>
      <c r="AH28" s="41">
        <f>(D49^$C$25)*(H49^$G$25)*(L49^$K$25)*(P49^$O$25)*(T49^$S$25)*(X49^$W$25)*(AB49^$AA$25)</f>
        <v>0.52272668209366169</v>
      </c>
      <c r="AI28" s="41">
        <f>(E49^$C$25)*(I49^$G$25)*(M49^$K$25)*(Q49^$O$25)*(U49^$S$25)*(Y49^$W$25)*(AC49^$AA$25)</f>
        <v>0.54090360357836786</v>
      </c>
      <c r="AJ28" s="42">
        <f>(F49^$C$25)*(J49^$G$25)*(N49^$K$25)*(R49^$O$25)*(V49^$S$25)*(Z49^$W$25)*(AD49^$AA$25)</f>
        <v>0.73294282699195434</v>
      </c>
      <c r="BA28" s="52" t="s">
        <v>36</v>
      </c>
      <c r="BB28" s="53">
        <f>BB26/BB27</f>
        <v>4.8956112757036437E-2</v>
      </c>
      <c r="BC28" s="53">
        <f t="shared" ref="BC28:BS28" si="3">BC26/BC27</f>
        <v>5.8340160290404265E-2</v>
      </c>
      <c r="BD28" s="53">
        <f t="shared" si="3"/>
        <v>4.8847919448870861E-2</v>
      </c>
      <c r="BE28" s="53">
        <f t="shared" si="3"/>
        <v>2.023735245110684E-2</v>
      </c>
      <c r="BF28" s="53">
        <f t="shared" si="3"/>
        <v>2.2830809672241083E-2</v>
      </c>
      <c r="BG28" s="53">
        <f t="shared" si="3"/>
        <v>2.0046818426259008E-2</v>
      </c>
      <c r="BH28" s="53">
        <f t="shared" si="3"/>
        <v>3.8244322716073004E-2</v>
      </c>
      <c r="BI28" s="53">
        <f t="shared" si="3"/>
        <v>4.0349537023308575E-2</v>
      </c>
      <c r="BJ28" s="53">
        <f t="shared" si="3"/>
        <v>1.164319303716102E-2</v>
      </c>
      <c r="BK28" s="53">
        <f t="shared" si="3"/>
        <v>1.1835691691524628E-2</v>
      </c>
      <c r="BL28" s="53">
        <f t="shared" si="3"/>
        <v>4.2969858674718163E-2</v>
      </c>
      <c r="BM28" s="53">
        <f t="shared" si="3"/>
        <v>3.9602919252259186E-2</v>
      </c>
      <c r="BN28" s="53">
        <f t="shared" si="3"/>
        <v>6.3638864397603023E-2</v>
      </c>
      <c r="BO28" s="53">
        <f t="shared" si="3"/>
        <v>3.7658352414371293E-2</v>
      </c>
      <c r="BP28" s="53">
        <f t="shared" si="3"/>
        <v>6.8063347453713091E-2</v>
      </c>
      <c r="BQ28" s="53">
        <f t="shared" si="3"/>
        <v>6.563146584520195E-2</v>
      </c>
      <c r="BR28" s="53">
        <f t="shared" si="3"/>
        <v>1.9480843212713348E-2</v>
      </c>
      <c r="BS28" s="54">
        <f t="shared" si="3"/>
        <v>6.2394180335587995E-2</v>
      </c>
    </row>
    <row r="29" spans="2:71" x14ac:dyDescent="0.55000000000000004">
      <c r="B29" s="21" t="s">
        <v>12</v>
      </c>
      <c r="C29" s="12">
        <f t="shared" ref="C29:AD29" si="4">IF(C7="VG",0.8,IF(C7="G",0.7,IF(C7="MG",0.6,IF(C7="F",0.45,IF(C7="MP",0.35,IF(C7="P",0.3,IF(C7="VP",0.2,"ERROR")))))))</f>
        <v>0.35</v>
      </c>
      <c r="D29" s="23">
        <f t="shared" si="4"/>
        <v>0.6</v>
      </c>
      <c r="E29" s="23">
        <f t="shared" si="4"/>
        <v>0.45</v>
      </c>
      <c r="F29" s="13">
        <f t="shared" si="4"/>
        <v>0.35</v>
      </c>
      <c r="G29" s="12">
        <f t="shared" si="4"/>
        <v>0.3</v>
      </c>
      <c r="H29" s="23">
        <f t="shared" si="4"/>
        <v>0.45</v>
      </c>
      <c r="I29" s="23">
        <f t="shared" si="4"/>
        <v>0.7</v>
      </c>
      <c r="J29" s="13">
        <f t="shared" si="4"/>
        <v>0.6</v>
      </c>
      <c r="K29" s="12">
        <f t="shared" si="4"/>
        <v>0.7</v>
      </c>
      <c r="L29" s="23">
        <f t="shared" si="4"/>
        <v>0.6</v>
      </c>
      <c r="M29" s="23">
        <f t="shared" si="4"/>
        <v>0.45</v>
      </c>
      <c r="N29" s="13">
        <f t="shared" si="4"/>
        <v>0.7</v>
      </c>
      <c r="O29" s="12">
        <f t="shared" si="4"/>
        <v>0.3</v>
      </c>
      <c r="P29" s="23">
        <f t="shared" si="4"/>
        <v>0.6</v>
      </c>
      <c r="Q29" s="23">
        <f t="shared" si="4"/>
        <v>0.6</v>
      </c>
      <c r="R29" s="13">
        <f t="shared" si="4"/>
        <v>0.3</v>
      </c>
      <c r="S29" s="12">
        <f t="shared" si="4"/>
        <v>0.7</v>
      </c>
      <c r="T29" s="23">
        <f t="shared" si="4"/>
        <v>0.6</v>
      </c>
      <c r="U29" s="23">
        <f t="shared" si="4"/>
        <v>0.45</v>
      </c>
      <c r="V29" s="13">
        <f t="shared" si="4"/>
        <v>0.8</v>
      </c>
      <c r="W29" s="12">
        <f t="shared" si="4"/>
        <v>0.7</v>
      </c>
      <c r="X29" s="23">
        <f t="shared" si="4"/>
        <v>0.8</v>
      </c>
      <c r="Y29" s="23">
        <f t="shared" si="4"/>
        <v>0.35</v>
      </c>
      <c r="Z29" s="13">
        <f t="shared" si="4"/>
        <v>0.3</v>
      </c>
      <c r="AA29" s="12">
        <f t="shared" si="4"/>
        <v>0.6</v>
      </c>
      <c r="AB29" s="23">
        <f t="shared" si="4"/>
        <v>0.45</v>
      </c>
      <c r="AC29" s="23">
        <f t="shared" si="4"/>
        <v>0.3</v>
      </c>
      <c r="AD29" s="24">
        <f t="shared" si="4"/>
        <v>0.6</v>
      </c>
      <c r="AF29" s="35" t="s">
        <v>12</v>
      </c>
      <c r="AG29" s="41">
        <f>(C50^$C$25)*(G50^$G$25)*(K50^$K$25)*(O50^$O$25)*(S50^$S$25)*(W50^$W$25)*(AA50^$AA$25)</f>
        <v>0.52915376821102555</v>
      </c>
      <c r="AH29" s="41">
        <f>(D50^$C$25)*(H50^$G$25)*(L50^$K$25)*(P50^$O$25)*(T50^$S$25)*(X50^$W$25)*(AB50^$AA$25)</f>
        <v>0.5009940514855532</v>
      </c>
      <c r="AI29" s="41">
        <f>(E50^$C$25)*(I50^$G$25)*(M50^$K$25)*(Q50^$O$25)*(U50^$S$25)*(Y50^$W$25)*(AC50^$AA$25)</f>
        <v>0.60778669229614213</v>
      </c>
      <c r="AJ29" s="42">
        <f>(F50^$C$25)*(J50^$G$25)*(N50^$K$25)*(R50^$O$25)*(V50^$S$25)*(Z50^$W$25)*(AD50^$AA$25)</f>
        <v>0.54468688384072461</v>
      </c>
    </row>
    <row r="30" spans="2:71" ht="20.7" thickBot="1" x14ac:dyDescent="0.8">
      <c r="B30" s="21" t="s">
        <v>13</v>
      </c>
      <c r="C30" s="12">
        <f t="shared" ref="C30:AD30" si="5">IF(C8="VG",0.8,IF(C8="G",0.7,IF(C8="MG",0.6,IF(C8="F",0.45,IF(C8="MP",0.35,IF(C8="P",0.3,IF(C8="VP",0.2,"ERROR")))))))</f>
        <v>0.7</v>
      </c>
      <c r="D30" s="23">
        <f t="shared" si="5"/>
        <v>0.6</v>
      </c>
      <c r="E30" s="23">
        <f t="shared" si="5"/>
        <v>0.7</v>
      </c>
      <c r="F30" s="13">
        <f t="shared" si="5"/>
        <v>0.7</v>
      </c>
      <c r="G30" s="12">
        <f t="shared" si="5"/>
        <v>0.6</v>
      </c>
      <c r="H30" s="23">
        <f t="shared" si="5"/>
        <v>0.45</v>
      </c>
      <c r="I30" s="23">
        <f t="shared" si="5"/>
        <v>0.7</v>
      </c>
      <c r="J30" s="13">
        <f t="shared" si="5"/>
        <v>0.35</v>
      </c>
      <c r="K30" s="12">
        <f t="shared" si="5"/>
        <v>0.6</v>
      </c>
      <c r="L30" s="23">
        <f t="shared" si="5"/>
        <v>0.7</v>
      </c>
      <c r="M30" s="23">
        <f t="shared" si="5"/>
        <v>0.6</v>
      </c>
      <c r="N30" s="13">
        <f t="shared" si="5"/>
        <v>0.45</v>
      </c>
      <c r="O30" s="12">
        <f t="shared" si="5"/>
        <v>0.7</v>
      </c>
      <c r="P30" s="23">
        <f t="shared" si="5"/>
        <v>0.7</v>
      </c>
      <c r="Q30" s="23">
        <f t="shared" si="5"/>
        <v>0.7</v>
      </c>
      <c r="R30" s="13">
        <f t="shared" si="5"/>
        <v>0.7</v>
      </c>
      <c r="S30" s="12">
        <f t="shared" si="5"/>
        <v>0.6</v>
      </c>
      <c r="T30" s="23">
        <f t="shared" si="5"/>
        <v>0.7</v>
      </c>
      <c r="U30" s="23">
        <f t="shared" si="5"/>
        <v>0.6</v>
      </c>
      <c r="V30" s="13">
        <f t="shared" si="5"/>
        <v>0.45</v>
      </c>
      <c r="W30" s="12">
        <f t="shared" si="5"/>
        <v>0.6</v>
      </c>
      <c r="X30" s="23">
        <f t="shared" si="5"/>
        <v>0.7</v>
      </c>
      <c r="Y30" s="23">
        <f t="shared" si="5"/>
        <v>0.7</v>
      </c>
      <c r="Z30" s="13">
        <f t="shared" si="5"/>
        <v>0.6</v>
      </c>
      <c r="AA30" s="12">
        <f t="shared" si="5"/>
        <v>0.7</v>
      </c>
      <c r="AB30" s="23">
        <f t="shared" si="5"/>
        <v>0.8</v>
      </c>
      <c r="AC30" s="23">
        <f t="shared" si="5"/>
        <v>0.45</v>
      </c>
      <c r="AD30" s="24">
        <f t="shared" si="5"/>
        <v>0.8</v>
      </c>
      <c r="AF30" s="35" t="s">
        <v>13</v>
      </c>
      <c r="AG30" s="41">
        <f>(C51^$C$25)*(G51^$G$25)*(K51^$K$25)*(O51^$O$25)*(S51^$S$25)*(W51^$W$25)*(AA51^$AA$25)</f>
        <v>0.42912463798381389</v>
      </c>
      <c r="AH30" s="41">
        <f>(D51^$C$25)*(H51^$G$25)*(L51^$K$25)*(P51^$O$25)*(T51^$S$25)*(X51^$W$25)*(AB51^$AA$25)</f>
        <v>0.39358590924038511</v>
      </c>
      <c r="AI30" s="41">
        <f>(E51^$C$25)*(I51^$G$25)*(M51^$K$25)*(Q51^$O$25)*(U51^$S$25)*(Y51^$W$25)*(AC51^$AA$25)</f>
        <v>0.42338183451930456</v>
      </c>
      <c r="AJ30" s="42">
        <f>(F51^$C$25)*(J51^$G$25)*(N51^$K$25)*(R51^$O$25)*(V51^$S$25)*(Z51^$W$25)*(AD51^$AA$25)</f>
        <v>0.47943613170913701</v>
      </c>
      <c r="BA30" s="31" t="s">
        <v>75</v>
      </c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</row>
    <row r="31" spans="2:71" x14ac:dyDescent="0.55000000000000004">
      <c r="B31" s="21" t="s">
        <v>14</v>
      </c>
      <c r="C31" s="12">
        <f t="shared" ref="C31:AD31" si="6">IF(C9="VG",0.8,IF(C9="G",0.7,IF(C9="MG",0.6,IF(C9="F",0.45,IF(C9="MP",0.35,IF(C9="P",0.3,IF(C9="VP",0.2,"ERROR")))))))</f>
        <v>0.35</v>
      </c>
      <c r="D31" s="23">
        <f t="shared" si="6"/>
        <v>0.6</v>
      </c>
      <c r="E31" s="23">
        <f t="shared" si="6"/>
        <v>0.7</v>
      </c>
      <c r="F31" s="13">
        <f t="shared" si="6"/>
        <v>0.35</v>
      </c>
      <c r="G31" s="12">
        <f t="shared" si="6"/>
        <v>0.7</v>
      </c>
      <c r="H31" s="23">
        <f t="shared" si="6"/>
        <v>0.6</v>
      </c>
      <c r="I31" s="23">
        <f t="shared" si="6"/>
        <v>0.35</v>
      </c>
      <c r="J31" s="13">
        <f t="shared" si="6"/>
        <v>0.7</v>
      </c>
      <c r="K31" s="12">
        <f t="shared" si="6"/>
        <v>0.35</v>
      </c>
      <c r="L31" s="23">
        <f t="shared" si="6"/>
        <v>0.6</v>
      </c>
      <c r="M31" s="23">
        <f t="shared" si="6"/>
        <v>0.7</v>
      </c>
      <c r="N31" s="13">
        <f t="shared" si="6"/>
        <v>0.45</v>
      </c>
      <c r="O31" s="12">
        <f t="shared" si="6"/>
        <v>0.7</v>
      </c>
      <c r="P31" s="23">
        <f t="shared" si="6"/>
        <v>0.7</v>
      </c>
      <c r="Q31" s="23">
        <f t="shared" si="6"/>
        <v>0.7</v>
      </c>
      <c r="R31" s="13">
        <f t="shared" si="6"/>
        <v>0.7</v>
      </c>
      <c r="S31" s="12">
        <f t="shared" si="6"/>
        <v>0.35</v>
      </c>
      <c r="T31" s="23">
        <f t="shared" si="6"/>
        <v>0.6</v>
      </c>
      <c r="U31" s="23">
        <f t="shared" si="6"/>
        <v>0.7</v>
      </c>
      <c r="V31" s="13">
        <f t="shared" si="6"/>
        <v>0.6</v>
      </c>
      <c r="W31" s="12">
        <f t="shared" si="6"/>
        <v>0.45</v>
      </c>
      <c r="X31" s="23">
        <f t="shared" si="6"/>
        <v>0.35</v>
      </c>
      <c r="Y31" s="23">
        <f t="shared" si="6"/>
        <v>0.7</v>
      </c>
      <c r="Z31" s="13">
        <f t="shared" si="6"/>
        <v>0.6</v>
      </c>
      <c r="AA31" s="12">
        <f t="shared" si="6"/>
        <v>0.6</v>
      </c>
      <c r="AB31" s="23">
        <f t="shared" si="6"/>
        <v>0.35</v>
      </c>
      <c r="AC31" s="23">
        <f t="shared" si="6"/>
        <v>0.7</v>
      </c>
      <c r="AD31" s="24">
        <f t="shared" si="6"/>
        <v>0.45</v>
      </c>
      <c r="AF31" s="35" t="s">
        <v>14</v>
      </c>
      <c r="AG31" s="41">
        <f>(C52^$C$25)*(G52^$G$25)*(K52^$K$25)*(O52^$O$25)*(S52^$S$25)*(W52^$W$25)*(AA52^$AA$25)</f>
        <v>0.5577731516217771</v>
      </c>
      <c r="AH31" s="41">
        <f>(D52^$C$25)*(H52^$G$25)*(L52^$K$25)*(P52^$O$25)*(T52^$S$25)*(X52^$W$25)*(AB52^$AA$25)</f>
        <v>0.5335227478610286</v>
      </c>
      <c r="AI31" s="41">
        <f>(E52^$C$25)*(I52^$G$25)*(M52^$K$25)*(Q52^$O$25)*(U52^$S$25)*(Y52^$W$25)*(AC52^$AA$25)</f>
        <v>0.39025887648562357</v>
      </c>
      <c r="AJ31" s="42">
        <f>(F52^$C$25)*(J52^$G$25)*(N52^$K$25)*(R52^$O$25)*(V52^$S$25)*(Z52^$W$25)*(AD52^$AA$25)</f>
        <v>0.51573123989527614</v>
      </c>
      <c r="BA31" s="18"/>
      <c r="BB31" s="19" t="s">
        <v>10</v>
      </c>
      <c r="BC31" s="19" t="s">
        <v>11</v>
      </c>
      <c r="BD31" s="19" t="s">
        <v>12</v>
      </c>
      <c r="BE31" s="19" t="s">
        <v>13</v>
      </c>
      <c r="BF31" s="19" t="s">
        <v>14</v>
      </c>
      <c r="BG31" s="19" t="s">
        <v>15</v>
      </c>
      <c r="BH31" s="19" t="s">
        <v>16</v>
      </c>
      <c r="BI31" s="19" t="s">
        <v>17</v>
      </c>
      <c r="BJ31" s="19" t="s">
        <v>18</v>
      </c>
      <c r="BK31" s="19" t="s">
        <v>19</v>
      </c>
      <c r="BL31" s="19" t="s">
        <v>20</v>
      </c>
      <c r="BM31" s="19" t="s">
        <v>21</v>
      </c>
      <c r="BN31" s="19" t="s">
        <v>22</v>
      </c>
      <c r="BO31" s="19" t="s">
        <v>23</v>
      </c>
      <c r="BP31" s="19" t="s">
        <v>24</v>
      </c>
      <c r="BQ31" s="19" t="s">
        <v>25</v>
      </c>
      <c r="BR31" s="19" t="s">
        <v>26</v>
      </c>
      <c r="BS31" s="20" t="s">
        <v>27</v>
      </c>
    </row>
    <row r="32" spans="2:71" x14ac:dyDescent="0.55000000000000004">
      <c r="B32" s="21" t="s">
        <v>15</v>
      </c>
      <c r="C32" s="12">
        <f t="shared" ref="C32:AD32" si="7">IF(C10="VG",0.8,IF(C10="G",0.7,IF(C10="MG",0.6,IF(C10="F",0.45,IF(C10="MP",0.35,IF(C10="P",0.3,IF(C10="VP",0.2,"ERROR")))))))</f>
        <v>0.7</v>
      </c>
      <c r="D32" s="23">
        <f t="shared" si="7"/>
        <v>0.6</v>
      </c>
      <c r="E32" s="23">
        <f t="shared" si="7"/>
        <v>0.7</v>
      </c>
      <c r="F32" s="13">
        <f t="shared" si="7"/>
        <v>0.8</v>
      </c>
      <c r="G32" s="12">
        <f t="shared" si="7"/>
        <v>0.6</v>
      </c>
      <c r="H32" s="23">
        <f t="shared" si="7"/>
        <v>0.7</v>
      </c>
      <c r="I32" s="23">
        <f t="shared" si="7"/>
        <v>0.6</v>
      </c>
      <c r="J32" s="13">
        <f t="shared" si="7"/>
        <v>0.45</v>
      </c>
      <c r="K32" s="12">
        <f t="shared" si="7"/>
        <v>0.6</v>
      </c>
      <c r="L32" s="23">
        <f t="shared" si="7"/>
        <v>0.7</v>
      </c>
      <c r="M32" s="23">
        <f t="shared" si="7"/>
        <v>0.6</v>
      </c>
      <c r="N32" s="13">
        <f t="shared" si="7"/>
        <v>0.45</v>
      </c>
      <c r="O32" s="12">
        <f t="shared" si="7"/>
        <v>0.7</v>
      </c>
      <c r="P32" s="23">
        <f t="shared" si="7"/>
        <v>0.7</v>
      </c>
      <c r="Q32" s="23">
        <f t="shared" si="7"/>
        <v>0.7</v>
      </c>
      <c r="R32" s="13">
        <f t="shared" si="7"/>
        <v>0.7</v>
      </c>
      <c r="S32" s="12">
        <f t="shared" si="7"/>
        <v>0.6</v>
      </c>
      <c r="T32" s="23">
        <f t="shared" si="7"/>
        <v>0.8</v>
      </c>
      <c r="U32" s="23">
        <f t="shared" si="7"/>
        <v>0.7</v>
      </c>
      <c r="V32" s="13">
        <f t="shared" si="7"/>
        <v>0.35</v>
      </c>
      <c r="W32" s="12">
        <f t="shared" si="7"/>
        <v>0.7</v>
      </c>
      <c r="X32" s="23">
        <f t="shared" si="7"/>
        <v>0.6</v>
      </c>
      <c r="Y32" s="23">
        <f t="shared" si="7"/>
        <v>0.35</v>
      </c>
      <c r="Z32" s="13">
        <f t="shared" si="7"/>
        <v>0.7</v>
      </c>
      <c r="AA32" s="12">
        <f t="shared" si="7"/>
        <v>0.7</v>
      </c>
      <c r="AB32" s="23">
        <f t="shared" si="7"/>
        <v>0.8</v>
      </c>
      <c r="AC32" s="23">
        <f t="shared" si="7"/>
        <v>0.45</v>
      </c>
      <c r="AD32" s="24">
        <f t="shared" si="7"/>
        <v>0.7</v>
      </c>
      <c r="AF32" s="35" t="s">
        <v>15</v>
      </c>
      <c r="AG32" s="41">
        <f>(C53^$C$25)*(G53^$G$25)*(K53^$K$25)*(O53^$O$25)*(S53^$S$25)*(W53^$W$25)*(AA53^$AA$25)</f>
        <v>0.4078069271953591</v>
      </c>
      <c r="AH32" s="41">
        <f>(D53^$C$25)*(H53^$G$25)*(L53^$K$25)*(P53^$O$25)*(T53^$S$25)*(X53^$W$25)*(AB53^$AA$25)</f>
        <v>0.37084983747921868</v>
      </c>
      <c r="AI32" s="41">
        <f>(E53^$C$25)*(I53^$G$25)*(M53^$K$25)*(Q53^$O$25)*(U53^$S$25)*(Y53^$W$25)*(AC53^$AA$25)</f>
        <v>0.47208148303978859</v>
      </c>
      <c r="AJ32" s="42">
        <f>(F53^$C$25)*(J53^$G$25)*(N53^$K$25)*(R53^$O$25)*(V53^$S$25)*(Z53^$W$25)*(AD53^$AA$25)</f>
        <v>0.45561908674679114</v>
      </c>
      <c r="BA32" s="21" t="s">
        <v>31</v>
      </c>
      <c r="BB32" s="23">
        <f>IF(BB20&lt;BB$28,0,BB20-BB$28)</f>
        <v>0</v>
      </c>
      <c r="BC32" s="23">
        <f>IF(BC20&lt;BC$28,0,BC20-BC$28)</f>
        <v>0</v>
      </c>
      <c r="BD32" s="23">
        <f>IF(BD20&lt;BD$28,0,BD20-BD$28)</f>
        <v>0</v>
      </c>
      <c r="BE32" s="23">
        <f>IF(BE20&lt;BE$28,0,BE20-BE$28)</f>
        <v>0</v>
      </c>
      <c r="BF32" s="23">
        <f>IF(BF20&lt;BF$28,0,BF20-BF$28)</f>
        <v>0</v>
      </c>
      <c r="BG32" s="23">
        <f>IF(BG20&lt;BG$28,0,BG20-BG$28)</f>
        <v>0</v>
      </c>
      <c r="BH32" s="23">
        <f>IF(BH20&lt;BH$28,0,BH20-BH$28)</f>
        <v>0</v>
      </c>
      <c r="BI32" s="23">
        <f>IF(BI20&lt;BI$28,0,BI20-BI$28)</f>
        <v>0</v>
      </c>
      <c r="BJ32" s="23">
        <f>IF(BJ20&lt;BJ$28,0,BJ20-BJ$28)</f>
        <v>1.1887933166746384E-2</v>
      </c>
      <c r="BK32" s="23">
        <f>IF(BK20&lt;BK$28,0,BK20-BK$28)</f>
        <v>2.2445364279791515E-2</v>
      </c>
      <c r="BL32" s="23">
        <f>IF(BL20&lt;BL$28,0,BL20-BL$28)</f>
        <v>0</v>
      </c>
      <c r="BM32" s="23">
        <f>IF(BM20&lt;BM$28,0,BM20-BM$28)</f>
        <v>0</v>
      </c>
      <c r="BN32" s="23">
        <f>IF(BN20&lt;BN$28,0,BN20-BN$28)</f>
        <v>0</v>
      </c>
      <c r="BO32" s="23">
        <f>IF(BO20&lt;BO$28,0,BO20-BO$28)</f>
        <v>0</v>
      </c>
      <c r="BP32" s="23">
        <f>IF(BP20&lt;BP$28,0,BP20-BP$28)</f>
        <v>0</v>
      </c>
      <c r="BQ32" s="23">
        <f>IF(BQ20&lt;BQ$28,0,BQ20-BQ$28)</f>
        <v>0</v>
      </c>
      <c r="BR32" s="23">
        <f>IF(BR20&lt;BR$28,0,BR20-BR$28)</f>
        <v>0</v>
      </c>
      <c r="BS32" s="24">
        <f>IF(BS20&lt;BS$28,0,BS20-BS$28)</f>
        <v>0</v>
      </c>
    </row>
    <row r="33" spans="2:71" x14ac:dyDescent="0.55000000000000004">
      <c r="B33" s="21" t="s">
        <v>16</v>
      </c>
      <c r="C33" s="12">
        <f t="shared" ref="C33:AD33" si="8">IF(C11="VG",0.8,IF(C11="G",0.7,IF(C11="MG",0.6,IF(C11="F",0.45,IF(C11="MP",0.35,IF(C11="P",0.3,IF(C11="VP",0.2,"ERROR")))))))</f>
        <v>0.6</v>
      </c>
      <c r="D33" s="23">
        <f t="shared" si="8"/>
        <v>0.7</v>
      </c>
      <c r="E33" s="23">
        <f t="shared" si="8"/>
        <v>0.7</v>
      </c>
      <c r="F33" s="13">
        <f t="shared" si="8"/>
        <v>0.8</v>
      </c>
      <c r="G33" s="12">
        <f t="shared" si="8"/>
        <v>0.35</v>
      </c>
      <c r="H33" s="23">
        <f t="shared" si="8"/>
        <v>0.35</v>
      </c>
      <c r="I33" s="23">
        <f t="shared" si="8"/>
        <v>0.45</v>
      </c>
      <c r="J33" s="13">
        <f t="shared" si="8"/>
        <v>0.7</v>
      </c>
      <c r="K33" s="12">
        <f t="shared" si="8"/>
        <v>0.6</v>
      </c>
      <c r="L33" s="23">
        <f t="shared" si="8"/>
        <v>0.7</v>
      </c>
      <c r="M33" s="23">
        <f t="shared" si="8"/>
        <v>0.6</v>
      </c>
      <c r="N33" s="13">
        <f t="shared" si="8"/>
        <v>0.7</v>
      </c>
      <c r="O33" s="12">
        <f t="shared" si="8"/>
        <v>0.7</v>
      </c>
      <c r="P33" s="23">
        <f t="shared" si="8"/>
        <v>0.7</v>
      </c>
      <c r="Q33" s="23">
        <f t="shared" si="8"/>
        <v>0.7</v>
      </c>
      <c r="R33" s="13">
        <f t="shared" si="8"/>
        <v>0.8</v>
      </c>
      <c r="S33" s="12">
        <f t="shared" si="8"/>
        <v>0.8</v>
      </c>
      <c r="T33" s="23">
        <f t="shared" si="8"/>
        <v>0.6</v>
      </c>
      <c r="U33" s="23">
        <f t="shared" si="8"/>
        <v>0.7</v>
      </c>
      <c r="V33" s="13">
        <f t="shared" si="8"/>
        <v>0.8</v>
      </c>
      <c r="W33" s="12">
        <f t="shared" si="8"/>
        <v>0.8</v>
      </c>
      <c r="X33" s="23">
        <f t="shared" si="8"/>
        <v>0.8</v>
      </c>
      <c r="Y33" s="23">
        <f t="shared" si="8"/>
        <v>0.6</v>
      </c>
      <c r="Z33" s="13">
        <f t="shared" si="8"/>
        <v>0.8</v>
      </c>
      <c r="AA33" s="12">
        <f t="shared" si="8"/>
        <v>0.6</v>
      </c>
      <c r="AB33" s="23">
        <f t="shared" si="8"/>
        <v>0.7</v>
      </c>
      <c r="AC33" s="23">
        <f t="shared" si="8"/>
        <v>0.45</v>
      </c>
      <c r="AD33" s="24">
        <f t="shared" si="8"/>
        <v>0.8</v>
      </c>
      <c r="AF33" s="35" t="s">
        <v>16</v>
      </c>
      <c r="AG33" s="41">
        <f>(C54^$C$25)*(G54^$G$25)*(K54^$K$25)*(O54^$O$25)*(S54^$S$25)*(W54^$W$25)*(AA54^$AA$25)</f>
        <v>0.43512264925420252</v>
      </c>
      <c r="AH33" s="41">
        <f>(D54^$C$25)*(H54^$G$25)*(L54^$K$25)*(P54^$O$25)*(T54^$S$25)*(X54^$W$25)*(AB54^$AA$25)</f>
        <v>0.40171478329029764</v>
      </c>
      <c r="AI33" s="41">
        <f>(E54^$C$25)*(I54^$G$25)*(M54^$K$25)*(Q54^$O$25)*(U54^$S$25)*(Y54^$W$25)*(AC54^$AA$25)</f>
        <v>0.46252870809460256</v>
      </c>
      <c r="AJ33" s="42">
        <f>(F54^$C$25)*(J54^$G$25)*(N54^$K$25)*(R54^$O$25)*(V54^$S$25)*(Z54^$W$25)*(AD54^$AA$25)</f>
        <v>0.31350820313654665</v>
      </c>
      <c r="BA33" s="21" t="s">
        <v>32</v>
      </c>
      <c r="BB33" s="36">
        <f>IF(BB21&lt;BB$28,0,BB21-BB$28)</f>
        <v>0</v>
      </c>
      <c r="BC33" s="36">
        <f>IF(BC21&lt;BC$28,0,BC21-BC$28)</f>
        <v>4.2398626394895604E-2</v>
      </c>
      <c r="BD33" s="36">
        <f>IF(BD21&lt;BD$28,0,BD21-BD$28)</f>
        <v>0</v>
      </c>
      <c r="BE33" s="36">
        <f>IF(BE21&lt;BE$28,0,BE21-BE$28)</f>
        <v>0</v>
      </c>
      <c r="BF33" s="36">
        <f>IF(BF21&lt;BF$28,0,BF21-BF$28)</f>
        <v>0</v>
      </c>
      <c r="BG33" s="36">
        <f>IF(BG21&lt;BG$28,0,BG21-BG$28)</f>
        <v>0</v>
      </c>
      <c r="BH33" s="36">
        <f>IF(BH21&lt;BH$28,0,BH21-BH$28)</f>
        <v>0</v>
      </c>
      <c r="BI33" s="36">
        <f>IF(BI21&lt;BI$28,0,BI21-BI$28)</f>
        <v>0</v>
      </c>
      <c r="BJ33" s="36">
        <f>IF(BJ21&lt;BJ$28,0,BJ21-BJ$28)</f>
        <v>5.8100010793304124E-3</v>
      </c>
      <c r="BK33" s="36">
        <f>IF(BK21&lt;BK$28,0,BK21-BK$28)</f>
        <v>1.4433037594403477E-2</v>
      </c>
      <c r="BL33" s="36">
        <f>IF(BL21&lt;BL$28,0,BL21-BL$28)</f>
        <v>0</v>
      </c>
      <c r="BM33" s="36">
        <f>IF(BM21&lt;BM$28,0,BM21-BM$28)</f>
        <v>0</v>
      </c>
      <c r="BN33" s="36">
        <f>IF(BN21&lt;BN$28,0,BN21-BN$28)</f>
        <v>0</v>
      </c>
      <c r="BO33" s="36">
        <f>IF(BO21&lt;BO$28,0,BO21-BO$28)</f>
        <v>0</v>
      </c>
      <c r="BP33" s="36">
        <f>IF(BP21&lt;BP$28,0,BP21-BP$28)</f>
        <v>0</v>
      </c>
      <c r="BQ33" s="36">
        <f>IF(BQ21&lt;BQ$28,0,BQ21-BQ$28)</f>
        <v>0</v>
      </c>
      <c r="BR33" s="36">
        <f>IF(BR21&lt;BR$28,0,BR21-BR$28)</f>
        <v>1.1510822658113592E-2</v>
      </c>
      <c r="BS33" s="37">
        <f>IF(BS21&lt;BS$28,0,BS21-BS$28)</f>
        <v>0</v>
      </c>
    </row>
    <row r="34" spans="2:71" x14ac:dyDescent="0.55000000000000004">
      <c r="B34" s="21" t="s">
        <v>17</v>
      </c>
      <c r="C34" s="12">
        <f t="shared" ref="C34:AD34" si="9">IF(C12="VG",0.8,IF(C12="G",0.7,IF(C12="MG",0.6,IF(C12="F",0.45,IF(C12="MP",0.35,IF(C12="P",0.3,IF(C12="VP",0.2,"ERROR")))))))</f>
        <v>0.6</v>
      </c>
      <c r="D34" s="23">
        <f t="shared" si="9"/>
        <v>0.7</v>
      </c>
      <c r="E34" s="23">
        <f t="shared" si="9"/>
        <v>0.7</v>
      </c>
      <c r="F34" s="13">
        <f t="shared" si="9"/>
        <v>0.8</v>
      </c>
      <c r="G34" s="12">
        <f t="shared" si="9"/>
        <v>0.45</v>
      </c>
      <c r="H34" s="23">
        <f t="shared" si="9"/>
        <v>0.45</v>
      </c>
      <c r="I34" s="23">
        <f t="shared" si="9"/>
        <v>0.45</v>
      </c>
      <c r="J34" s="13">
        <f t="shared" si="9"/>
        <v>0.7</v>
      </c>
      <c r="K34" s="12">
        <f t="shared" si="9"/>
        <v>0.6</v>
      </c>
      <c r="L34" s="23">
        <f t="shared" si="9"/>
        <v>0.6</v>
      </c>
      <c r="M34" s="23">
        <f t="shared" si="9"/>
        <v>0.7</v>
      </c>
      <c r="N34" s="13">
        <f t="shared" si="9"/>
        <v>0.7</v>
      </c>
      <c r="O34" s="12">
        <f t="shared" si="9"/>
        <v>0.6</v>
      </c>
      <c r="P34" s="23">
        <f t="shared" si="9"/>
        <v>0.6</v>
      </c>
      <c r="Q34" s="23">
        <f t="shared" si="9"/>
        <v>0.6</v>
      </c>
      <c r="R34" s="13">
        <f t="shared" si="9"/>
        <v>0.8</v>
      </c>
      <c r="S34" s="12">
        <f t="shared" si="9"/>
        <v>0.6</v>
      </c>
      <c r="T34" s="23">
        <f t="shared" si="9"/>
        <v>0.7</v>
      </c>
      <c r="U34" s="23">
        <f t="shared" si="9"/>
        <v>0.8</v>
      </c>
      <c r="V34" s="13">
        <f t="shared" si="9"/>
        <v>0.8</v>
      </c>
      <c r="W34" s="12">
        <f t="shared" si="9"/>
        <v>0.7</v>
      </c>
      <c r="X34" s="23">
        <f t="shared" si="9"/>
        <v>0.7</v>
      </c>
      <c r="Y34" s="23">
        <f t="shared" si="9"/>
        <v>0.45</v>
      </c>
      <c r="Z34" s="13">
        <f t="shared" si="9"/>
        <v>0.8</v>
      </c>
      <c r="AA34" s="12">
        <f t="shared" si="9"/>
        <v>0.45</v>
      </c>
      <c r="AB34" s="23">
        <f t="shared" si="9"/>
        <v>0.45</v>
      </c>
      <c r="AC34" s="23">
        <f t="shared" si="9"/>
        <v>0.6</v>
      </c>
      <c r="AD34" s="24">
        <f t="shared" si="9"/>
        <v>0.8</v>
      </c>
      <c r="AF34" s="35" t="s">
        <v>17</v>
      </c>
      <c r="AG34" s="41">
        <f>(C55^$C$25)*(G55^$G$25)*(K55^$K$25)*(O55^$O$25)*(S55^$S$25)*(W55^$W$25)*(AA55^$AA$25)</f>
        <v>0.51214907943123389</v>
      </c>
      <c r="AH34" s="41">
        <f>(D55^$C$25)*(H55^$G$25)*(L55^$K$25)*(P55^$O$25)*(T55^$S$25)*(X55^$W$25)*(AB55^$AA$25)</f>
        <v>0.46252870809460261</v>
      </c>
      <c r="AI34" s="41">
        <f>(E55^$C$25)*(I55^$G$25)*(M55^$K$25)*(Q55^$O$25)*(U55^$S$25)*(Y55^$W$25)*(AC55^$AA$25)</f>
        <v>0.45245445262546313</v>
      </c>
      <c r="AJ34" s="42">
        <f>(F55^$C$25)*(J55^$G$25)*(N55^$K$25)*(R55^$O$25)*(V55^$S$25)*(Z55^$W$25)*(AD55^$AA$25)</f>
        <v>0.31350820313654665</v>
      </c>
      <c r="BA34" s="21" t="s">
        <v>33</v>
      </c>
      <c r="BB34" s="36">
        <f>IF(BB22&lt;BB$28,0,BB22-BB$28)</f>
        <v>7.4335257504469163E-3</v>
      </c>
      <c r="BC34" s="36">
        <f>IF(BC22&lt;BC$28,0,BC22-BC$28)</f>
        <v>0</v>
      </c>
      <c r="BD34" s="36">
        <f>IF(BD22&lt;BD$28,0,BD22-BD$28)</f>
        <v>0</v>
      </c>
      <c r="BE34" s="36">
        <f>IF(BE22&lt;BE$28,0,BE22-BE$28)</f>
        <v>0</v>
      </c>
      <c r="BF34" s="36">
        <f>IF(BF22&lt;BF$28,0,BF22-BF$28)</f>
        <v>2.9848246192350346E-2</v>
      </c>
      <c r="BG34" s="36">
        <f>IF(BG22&lt;BG$28,0,BG22-BG$28)</f>
        <v>0</v>
      </c>
      <c r="BH34" s="36">
        <f>IF(BH22&lt;BH$28,0,BH22-BH$28)</f>
        <v>1.3508953990548078E-3</v>
      </c>
      <c r="BI34" s="36">
        <f>IF(BI22&lt;BI$28,0,BI22-BI$28)</f>
        <v>1.9584157835164089E-2</v>
      </c>
      <c r="BJ34" s="36">
        <f>IF(BJ22&lt;BJ$28,0,BJ22-BJ$28)</f>
        <v>0</v>
      </c>
      <c r="BK34" s="36">
        <f>IF(BK22&lt;BK$28,0,BK22-BK$28)</f>
        <v>1.4978020195159338E-2</v>
      </c>
      <c r="BL34" s="36">
        <f>IF(BL22&lt;BL$28,0,BL22-BL$28)</f>
        <v>2.1857799217617692E-2</v>
      </c>
      <c r="BM34" s="36">
        <f>IF(BM22&lt;BM$28,0,BM22-BM$28)</f>
        <v>0</v>
      </c>
      <c r="BN34" s="36">
        <f>IF(BN22&lt;BN$28,0,BN22-BN$28)</f>
        <v>0</v>
      </c>
      <c r="BO34" s="36">
        <f>IF(BO22&lt;BO$28,0,BO22-BO$28)</f>
        <v>0</v>
      </c>
      <c r="BP34" s="36">
        <f>IF(BP22&lt;BP$28,0,BP22-BP$28)</f>
        <v>1.1219581254283351E-2</v>
      </c>
      <c r="BQ34" s="36">
        <f>IF(BQ22&lt;BQ$28,0,BQ22-BQ$28)</f>
        <v>0</v>
      </c>
      <c r="BR34" s="36">
        <f>IF(BR22&lt;BR$28,0,BR22-BR$28)</f>
        <v>2.8329953551074726E-3</v>
      </c>
      <c r="BS34" s="37">
        <f>IF(BS22&lt;BS$28,0,BS22-BS$28)</f>
        <v>0</v>
      </c>
    </row>
    <row r="35" spans="2:71" ht="14.7" thickBot="1" x14ac:dyDescent="0.6">
      <c r="B35" s="21" t="s">
        <v>18</v>
      </c>
      <c r="C35" s="12">
        <f t="shared" ref="C35:AD35" si="10">IF(C13="VG",0.8,IF(C13="G",0.7,IF(C13="MG",0.6,IF(C13="F",0.45,IF(C13="MP",0.35,IF(C13="P",0.3,IF(C13="VP",0.2,"ERROR")))))))</f>
        <v>0.7</v>
      </c>
      <c r="D35" s="23">
        <f t="shared" si="10"/>
        <v>0.7</v>
      </c>
      <c r="E35" s="23">
        <f t="shared" si="10"/>
        <v>0.6</v>
      </c>
      <c r="F35" s="13">
        <f t="shared" si="10"/>
        <v>0.8</v>
      </c>
      <c r="G35" s="12">
        <f t="shared" si="10"/>
        <v>0.6</v>
      </c>
      <c r="H35" s="23">
        <f t="shared" si="10"/>
        <v>0.7</v>
      </c>
      <c r="I35" s="23">
        <f t="shared" si="10"/>
        <v>0.7</v>
      </c>
      <c r="J35" s="13">
        <f t="shared" si="10"/>
        <v>0.35</v>
      </c>
      <c r="K35" s="12">
        <f t="shared" si="10"/>
        <v>0.6</v>
      </c>
      <c r="L35" s="23">
        <f t="shared" si="10"/>
        <v>0.7</v>
      </c>
      <c r="M35" s="23">
        <f t="shared" si="10"/>
        <v>0.45</v>
      </c>
      <c r="N35" s="13">
        <f t="shared" si="10"/>
        <v>0.6</v>
      </c>
      <c r="O35" s="12">
        <f t="shared" si="10"/>
        <v>0.6</v>
      </c>
      <c r="P35" s="23">
        <f t="shared" si="10"/>
        <v>0.6</v>
      </c>
      <c r="Q35" s="23">
        <f t="shared" si="10"/>
        <v>0.7</v>
      </c>
      <c r="R35" s="13">
        <f t="shared" si="10"/>
        <v>0.8</v>
      </c>
      <c r="S35" s="12">
        <f t="shared" si="10"/>
        <v>0.7</v>
      </c>
      <c r="T35" s="23">
        <f t="shared" si="10"/>
        <v>0.8</v>
      </c>
      <c r="U35" s="23">
        <f t="shared" si="10"/>
        <v>0.6</v>
      </c>
      <c r="V35" s="13">
        <f t="shared" si="10"/>
        <v>0.6</v>
      </c>
      <c r="W35" s="12">
        <f t="shared" si="10"/>
        <v>0.7</v>
      </c>
      <c r="X35" s="23">
        <f t="shared" si="10"/>
        <v>0.6</v>
      </c>
      <c r="Y35" s="23">
        <f t="shared" si="10"/>
        <v>0.7</v>
      </c>
      <c r="Z35" s="13">
        <f t="shared" si="10"/>
        <v>0.8</v>
      </c>
      <c r="AA35" s="12">
        <f t="shared" si="10"/>
        <v>0.7</v>
      </c>
      <c r="AB35" s="23">
        <f t="shared" si="10"/>
        <v>0.8</v>
      </c>
      <c r="AC35" s="23">
        <f t="shared" si="10"/>
        <v>0.35</v>
      </c>
      <c r="AD35" s="24">
        <f t="shared" si="10"/>
        <v>0.8</v>
      </c>
      <c r="AF35" s="35" t="s">
        <v>18</v>
      </c>
      <c r="AG35" s="41">
        <f>(C56^$C$25)*(G56^$G$25)*(K56^$K$25)*(O56^$O$25)*(S56^$S$25)*(W56^$W$25)*(AA56^$AA$25)</f>
        <v>0.4078069271953591</v>
      </c>
      <c r="AH35" s="41">
        <f>(D56^$C$25)*(H56^$G$25)*(L56^$K$25)*(P56^$O$25)*(T56^$S$25)*(X56^$W$25)*(AB56^$AA$25)</f>
        <v>0.37084983747921868</v>
      </c>
      <c r="AI35" s="41">
        <f>(E56^$C$25)*(I56^$G$25)*(M56^$K$25)*(Q56^$O$25)*(U56^$S$25)*(Y56^$W$25)*(AC56^$AA$25)</f>
        <v>0.47208148303978875</v>
      </c>
      <c r="AJ35" s="42">
        <f>(F56^$C$25)*(J56^$G$25)*(N56^$K$25)*(R56^$O$25)*(V56^$S$25)*(Z56^$W$25)*(AD56^$AA$25)</f>
        <v>0.39569009989412574</v>
      </c>
      <c r="BA35" s="25" t="s">
        <v>34</v>
      </c>
      <c r="BB35" s="39">
        <f>IF(BB23&lt;BB$28,0,BB23-BB$28)</f>
        <v>0.1252585598643432</v>
      </c>
      <c r="BC35" s="39">
        <f>IF(BC23&lt;BC$28,0,BC23-BC$28)</f>
        <v>0.21646704390254826</v>
      </c>
      <c r="BD35" s="39">
        <f>IF(BD23&lt;BD$28,0,BD23-BD$28)</f>
        <v>0.16577524154621104</v>
      </c>
      <c r="BE35" s="39">
        <f>IF(BE23&lt;BE$28,0,BE23-BE$28)</f>
        <v>0.11924039412667722</v>
      </c>
      <c r="BF35" s="39">
        <f>IF(BF23&lt;BF$28,0,BF23-BF$28)</f>
        <v>0.13776384898842345</v>
      </c>
      <c r="BG35" s="39">
        <f>IF(BG23&lt;BG$28,0,BG23-BG$28)</f>
        <v>0.10628109066950601</v>
      </c>
      <c r="BH35" s="39">
        <f>IF(BH23&lt;BH$28,0,BH23-BH$28)</f>
        <v>5.6593276503452444E-2</v>
      </c>
      <c r="BI35" s="39">
        <f>IF(BI23&lt;BI$28,0,BI23-BI$28)</f>
        <v>5.9708535630223096E-2</v>
      </c>
      <c r="BJ35" s="39">
        <f>IF(BJ23&lt;BJ$28,0,BJ23-BJ$28)</f>
        <v>0.11064223236948487</v>
      </c>
      <c r="BK35" s="39">
        <f>IF(BK23&lt;BK$28,0,BK23-BK$28)</f>
        <v>9.0872452141823573E-2</v>
      </c>
      <c r="BL35" s="39">
        <f>IF(BL23&lt;BL$28,0,BL23-BL$28)</f>
        <v>8.0323867168333757E-2</v>
      </c>
      <c r="BM35" s="39">
        <f>IF(BM23&lt;BM$28,0,BM23-BM$28)</f>
        <v>0.10364943056049801</v>
      </c>
      <c r="BN35" s="39">
        <f>IF(BN23&lt;BN$28,0,BN23-BN$28)</f>
        <v>8.0202513340388082E-2</v>
      </c>
      <c r="BO35" s="39">
        <f>IF(BO23&lt;BO$28,0,BO23-BO$28)</f>
        <v>6.5048869480899524E-2</v>
      </c>
      <c r="BP35" s="39">
        <f>IF(BP23&lt;BP$28,0,BP23-BP$28)</f>
        <v>6.1850379122038307E-2</v>
      </c>
      <c r="BQ35" s="39">
        <f>IF(BQ23&lt;BQ$28,0,BQ23-BQ$28)</f>
        <v>8.8169538378369675E-2</v>
      </c>
      <c r="BR35" s="39">
        <f>IF(BR23&lt;BR$28,0,BR23-BR$28)</f>
        <v>8.7004883491574841E-2</v>
      </c>
      <c r="BS35" s="40">
        <f>IF(BS23&lt;BS$28,0,BS23-BS$28)</f>
        <v>7.5114297693890081E-2</v>
      </c>
    </row>
    <row r="36" spans="2:71" x14ac:dyDescent="0.55000000000000004">
      <c r="B36" s="21" t="s">
        <v>19</v>
      </c>
      <c r="C36" s="12">
        <f t="shared" ref="C36:AD36" si="11">IF(C14="VG",0.8,IF(C14="G",0.7,IF(C14="MG",0.6,IF(C14="F",0.45,IF(C14="MP",0.35,IF(C14="P",0.3,IF(C14="VP",0.2,"ERROR")))))))</f>
        <v>0.6</v>
      </c>
      <c r="D36" s="23">
        <f t="shared" si="11"/>
        <v>0.7</v>
      </c>
      <c r="E36" s="23">
        <f t="shared" si="11"/>
        <v>0.6</v>
      </c>
      <c r="F36" s="13">
        <f t="shared" si="11"/>
        <v>0.7</v>
      </c>
      <c r="G36" s="12">
        <f t="shared" si="11"/>
        <v>0.45</v>
      </c>
      <c r="H36" s="23">
        <f t="shared" si="11"/>
        <v>0.8</v>
      </c>
      <c r="I36" s="23">
        <f t="shared" si="11"/>
        <v>0.7</v>
      </c>
      <c r="J36" s="13">
        <f t="shared" si="11"/>
        <v>0.45</v>
      </c>
      <c r="K36" s="12">
        <f t="shared" si="11"/>
        <v>0.6</v>
      </c>
      <c r="L36" s="23">
        <f t="shared" si="11"/>
        <v>0.7</v>
      </c>
      <c r="M36" s="23">
        <f t="shared" si="11"/>
        <v>0.45</v>
      </c>
      <c r="N36" s="13">
        <f t="shared" si="11"/>
        <v>0.6</v>
      </c>
      <c r="O36" s="12">
        <f t="shared" si="11"/>
        <v>0.45</v>
      </c>
      <c r="P36" s="23">
        <f t="shared" si="11"/>
        <v>0.7</v>
      </c>
      <c r="Q36" s="23">
        <f t="shared" si="11"/>
        <v>0.8</v>
      </c>
      <c r="R36" s="13">
        <f t="shared" si="11"/>
        <v>0.8</v>
      </c>
      <c r="S36" s="12">
        <f t="shared" si="11"/>
        <v>0.45</v>
      </c>
      <c r="T36" s="23">
        <f t="shared" si="11"/>
        <v>0.8</v>
      </c>
      <c r="U36" s="23">
        <f t="shared" si="11"/>
        <v>0.2</v>
      </c>
      <c r="V36" s="13">
        <f t="shared" si="11"/>
        <v>0.7</v>
      </c>
      <c r="W36" s="12">
        <f t="shared" si="11"/>
        <v>0.6</v>
      </c>
      <c r="X36" s="23">
        <f t="shared" si="11"/>
        <v>0.8</v>
      </c>
      <c r="Y36" s="23">
        <f t="shared" si="11"/>
        <v>0.8</v>
      </c>
      <c r="Z36" s="13">
        <f t="shared" si="11"/>
        <v>0.7</v>
      </c>
      <c r="AA36" s="12">
        <f t="shared" si="11"/>
        <v>0.7</v>
      </c>
      <c r="AB36" s="23">
        <f t="shared" si="11"/>
        <v>0.8</v>
      </c>
      <c r="AC36" s="23">
        <f t="shared" si="11"/>
        <v>0.6</v>
      </c>
      <c r="AD36" s="24">
        <f t="shared" si="11"/>
        <v>0.8</v>
      </c>
      <c r="AF36" s="35" t="s">
        <v>19</v>
      </c>
      <c r="AG36" s="41">
        <f>(C57^$C$25)*(G57^$G$25)*(K57^$K$25)*(O57^$O$25)*(S57^$S$25)*(W57^$W$25)*(AA57^$AA$25)</f>
        <v>0.53170900820204714</v>
      </c>
      <c r="AH36" s="41">
        <f>(D57^$C$25)*(H57^$G$25)*(L57^$K$25)*(P57^$O$25)*(T57^$S$25)*(X57^$W$25)*(AB57^$AA$25)</f>
        <v>0.32048871070309037</v>
      </c>
      <c r="AI36" s="41">
        <f>(E57^$C$25)*(I57^$G$25)*(M57^$K$25)*(Q57^$O$25)*(U57^$S$25)*(Y57^$W$25)*(AC57^$AA$25)</f>
        <v>0.46366137454244272</v>
      </c>
      <c r="AJ36" s="42">
        <f>(F57^$C$25)*(J57^$G$25)*(N57^$K$25)*(R57^$O$25)*(V57^$S$25)*(Z57^$W$25)*(AD57^$AA$25)</f>
        <v>0.38501328460249951</v>
      </c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</row>
    <row r="37" spans="2:71" ht="20.7" thickBot="1" x14ac:dyDescent="0.8">
      <c r="B37" s="21" t="s">
        <v>20</v>
      </c>
      <c r="C37" s="12">
        <f t="shared" ref="C37:AD37" si="12">IF(C15="VG",0.8,IF(C15="G",0.7,IF(C15="MG",0.6,IF(C15="F",0.45,IF(C15="MP",0.35,IF(C15="P",0.3,IF(C15="VP",0.2,"ERROR")))))))</f>
        <v>0.7</v>
      </c>
      <c r="D37" s="23">
        <f t="shared" si="12"/>
        <v>0.7</v>
      </c>
      <c r="E37" s="23">
        <f t="shared" si="12"/>
        <v>0.7</v>
      </c>
      <c r="F37" s="13">
        <f t="shared" si="12"/>
        <v>0.7</v>
      </c>
      <c r="G37" s="12">
        <f t="shared" si="12"/>
        <v>0.6</v>
      </c>
      <c r="H37" s="23">
        <f t="shared" si="12"/>
        <v>0.45</v>
      </c>
      <c r="I37" s="23">
        <f t="shared" si="12"/>
        <v>0.8</v>
      </c>
      <c r="J37" s="13">
        <f t="shared" si="12"/>
        <v>0.6</v>
      </c>
      <c r="K37" s="12">
        <f t="shared" si="12"/>
        <v>0.45</v>
      </c>
      <c r="L37" s="23">
        <f t="shared" si="12"/>
        <v>0.45</v>
      </c>
      <c r="M37" s="23">
        <f t="shared" si="12"/>
        <v>0.7</v>
      </c>
      <c r="N37" s="13">
        <f t="shared" si="12"/>
        <v>0.6</v>
      </c>
      <c r="O37" s="12">
        <f t="shared" si="12"/>
        <v>0.7</v>
      </c>
      <c r="P37" s="23">
        <f t="shared" si="12"/>
        <v>0.7</v>
      </c>
      <c r="Q37" s="23">
        <f t="shared" si="12"/>
        <v>0.7</v>
      </c>
      <c r="R37" s="13">
        <f t="shared" si="12"/>
        <v>0.7</v>
      </c>
      <c r="S37" s="12">
        <f t="shared" si="12"/>
        <v>0.45</v>
      </c>
      <c r="T37" s="23">
        <f t="shared" si="12"/>
        <v>0.45</v>
      </c>
      <c r="U37" s="23">
        <f t="shared" si="12"/>
        <v>0.7</v>
      </c>
      <c r="V37" s="13">
        <f t="shared" si="12"/>
        <v>0.6</v>
      </c>
      <c r="W37" s="12">
        <f t="shared" si="12"/>
        <v>0.6</v>
      </c>
      <c r="X37" s="23">
        <f t="shared" si="12"/>
        <v>0.45</v>
      </c>
      <c r="Y37" s="23">
        <f t="shared" si="12"/>
        <v>0.7</v>
      </c>
      <c r="Z37" s="13">
        <f t="shared" si="12"/>
        <v>0.45</v>
      </c>
      <c r="AA37" s="12">
        <f t="shared" si="12"/>
        <v>0.6</v>
      </c>
      <c r="AB37" s="23">
        <f t="shared" si="12"/>
        <v>0.35</v>
      </c>
      <c r="AC37" s="23">
        <f t="shared" si="12"/>
        <v>0.8</v>
      </c>
      <c r="AD37" s="24">
        <f t="shared" si="12"/>
        <v>0.45</v>
      </c>
      <c r="AF37" s="35" t="s">
        <v>20</v>
      </c>
      <c r="AG37" s="41">
        <f>(C58^$C$25)*(G58^$G$25)*(K58^$K$25)*(O58^$O$25)*(S58^$S$25)*(W58^$W$25)*(AA58^$AA$25)</f>
        <v>0.48670694679773036</v>
      </c>
      <c r="AH37" s="41">
        <f>(D58^$C$25)*(H58^$G$25)*(L58^$K$25)*(P58^$O$25)*(T58^$S$25)*(X58^$W$25)*(AB58^$AA$25)</f>
        <v>0.55587697139353509</v>
      </c>
      <c r="AI37" s="41">
        <f>(E58^$C$25)*(I58^$G$25)*(M58^$K$25)*(Q58^$O$25)*(U58^$S$25)*(Y58^$W$25)*(AC58^$AA$25)</f>
        <v>0.33491946606024803</v>
      </c>
      <c r="AJ37" s="42">
        <f>(F58^$C$25)*(J58^$G$25)*(N58^$K$25)*(R58^$O$25)*(V58^$S$25)*(Z58^$W$25)*(AD58^$AA$25)</f>
        <v>0.4867069467977303</v>
      </c>
      <c r="BA37" s="31" t="s">
        <v>76</v>
      </c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</row>
    <row r="38" spans="2:71" x14ac:dyDescent="0.55000000000000004">
      <c r="B38" s="21" t="s">
        <v>21</v>
      </c>
      <c r="C38" s="12">
        <f t="shared" ref="C38:AD38" si="13">IF(C16="VG",0.8,IF(C16="G",0.7,IF(C16="MG",0.6,IF(C16="F",0.45,IF(C16="MP",0.35,IF(C16="P",0.3,IF(C16="VP",0.2,"ERROR")))))))</f>
        <v>0.6</v>
      </c>
      <c r="D38" s="23">
        <f t="shared" si="13"/>
        <v>0.8</v>
      </c>
      <c r="E38" s="23">
        <f t="shared" si="13"/>
        <v>0.6</v>
      </c>
      <c r="F38" s="13">
        <f t="shared" si="13"/>
        <v>0.8</v>
      </c>
      <c r="G38" s="12">
        <f t="shared" si="13"/>
        <v>0.45</v>
      </c>
      <c r="H38" s="23">
        <f t="shared" si="13"/>
        <v>0.35</v>
      </c>
      <c r="I38" s="23">
        <f t="shared" si="13"/>
        <v>0.45</v>
      </c>
      <c r="J38" s="13">
        <f t="shared" si="13"/>
        <v>0.7</v>
      </c>
      <c r="K38" s="12">
        <f t="shared" si="13"/>
        <v>0.6</v>
      </c>
      <c r="L38" s="23">
        <f t="shared" si="13"/>
        <v>0.7</v>
      </c>
      <c r="M38" s="23">
        <f t="shared" si="13"/>
        <v>0.6</v>
      </c>
      <c r="N38" s="13">
        <f t="shared" si="13"/>
        <v>0.45</v>
      </c>
      <c r="O38" s="12">
        <f t="shared" si="13"/>
        <v>0.7</v>
      </c>
      <c r="P38" s="23">
        <f t="shared" si="13"/>
        <v>0.7</v>
      </c>
      <c r="Q38" s="23">
        <f t="shared" si="13"/>
        <v>0.7</v>
      </c>
      <c r="R38" s="13">
        <f t="shared" si="13"/>
        <v>0.7</v>
      </c>
      <c r="S38" s="12">
        <f t="shared" si="13"/>
        <v>0.7</v>
      </c>
      <c r="T38" s="23">
        <f t="shared" si="13"/>
        <v>0.7</v>
      </c>
      <c r="U38" s="23">
        <f t="shared" si="13"/>
        <v>0.8</v>
      </c>
      <c r="V38" s="13">
        <f t="shared" si="13"/>
        <v>0.6</v>
      </c>
      <c r="W38" s="12">
        <f t="shared" si="13"/>
        <v>0.8</v>
      </c>
      <c r="X38" s="23">
        <f t="shared" si="13"/>
        <v>0.7</v>
      </c>
      <c r="Y38" s="23">
        <f t="shared" si="13"/>
        <v>0.8</v>
      </c>
      <c r="Z38" s="13">
        <f t="shared" si="13"/>
        <v>0.45</v>
      </c>
      <c r="AA38" s="12">
        <f t="shared" si="13"/>
        <v>0.7</v>
      </c>
      <c r="AB38" s="23">
        <f t="shared" si="13"/>
        <v>0.35</v>
      </c>
      <c r="AC38" s="23">
        <f t="shared" si="13"/>
        <v>0.6</v>
      </c>
      <c r="AD38" s="24">
        <f t="shared" si="13"/>
        <v>0.7</v>
      </c>
      <c r="AF38" s="35" t="s">
        <v>21</v>
      </c>
      <c r="AG38" s="41">
        <f>(C59^$C$25)*(G59^$G$25)*(K59^$K$25)*(O59^$O$25)*(S59^$S$25)*(W59^$W$25)*(AA59^$AA$25)</f>
        <v>0.41416023013606273</v>
      </c>
      <c r="AH38" s="41">
        <f>(D59^$C$25)*(H59^$G$25)*(L59^$K$25)*(P59^$O$25)*(T59^$S$25)*(X59^$W$25)*(AB59^$AA$25)</f>
        <v>0.42567065178271973</v>
      </c>
      <c r="AI38" s="41">
        <f>(E59^$C$25)*(I59^$G$25)*(M59^$K$25)*(Q59^$O$25)*(U59^$S$25)*(Y59^$W$25)*(AC59^$AA$25)</f>
        <v>0.42631775244885989</v>
      </c>
      <c r="AJ38" s="42">
        <f>(F59^$C$25)*(J59^$G$25)*(N59^$K$25)*(R59^$O$25)*(V59^$S$25)*(Z59^$W$25)*(AD59^$AA$25)</f>
        <v>0.42997778195156422</v>
      </c>
      <c r="BA38" s="18" t="s">
        <v>30</v>
      </c>
      <c r="BB38" s="55">
        <f>SUM(BB32:BB35)</f>
        <v>0.13269208561479012</v>
      </c>
      <c r="BC38" s="55">
        <f>SUM(BC32:BC35)</f>
        <v>0.25886567029744384</v>
      </c>
      <c r="BD38" s="55">
        <f>SUM(BD32:BD35)</f>
        <v>0.16577524154621104</v>
      </c>
      <c r="BE38" s="55">
        <f>SUM(BE32:BE35)</f>
        <v>0.11924039412667722</v>
      </c>
      <c r="BF38" s="55">
        <f>SUM(BF32:BF35)</f>
        <v>0.1676120951807738</v>
      </c>
      <c r="BG38" s="55">
        <f>SUM(BG32:BG35)</f>
        <v>0.10628109066950601</v>
      </c>
      <c r="BH38" s="55">
        <f>SUM(BH32:BH35)</f>
        <v>5.7944171902507252E-2</v>
      </c>
      <c r="BI38" s="55">
        <f>SUM(BI32:BI35)</f>
        <v>7.9292693465387185E-2</v>
      </c>
      <c r="BJ38" s="55">
        <f>SUM(BJ32:BJ35)</f>
        <v>0.12834016661556166</v>
      </c>
      <c r="BK38" s="55">
        <f>SUM(BK32:BK35)</f>
        <v>0.14272887421117791</v>
      </c>
      <c r="BL38" s="55">
        <f>SUM(BL32:BL35)</f>
        <v>0.10218166638595144</v>
      </c>
      <c r="BM38" s="55">
        <f>SUM(BM32:BM35)</f>
        <v>0.10364943056049801</v>
      </c>
      <c r="BN38" s="55">
        <f>SUM(BN32:BN35)</f>
        <v>8.0202513340388082E-2</v>
      </c>
      <c r="BO38" s="55">
        <f>SUM(BO32:BO35)</f>
        <v>6.5048869480899524E-2</v>
      </c>
      <c r="BP38" s="55">
        <f>SUM(BP32:BP35)</f>
        <v>7.3069960376321658E-2</v>
      </c>
      <c r="BQ38" s="55">
        <f>SUM(BQ32:BQ35)</f>
        <v>8.8169538378369675E-2</v>
      </c>
      <c r="BR38" s="55">
        <f>SUM(BR32:BR35)</f>
        <v>0.10134870150479591</v>
      </c>
      <c r="BS38" s="56">
        <f>SUM(BS32:BS35)</f>
        <v>7.5114297693890081E-2</v>
      </c>
    </row>
    <row r="39" spans="2:71" x14ac:dyDescent="0.55000000000000004">
      <c r="B39" s="21" t="s">
        <v>22</v>
      </c>
      <c r="C39" s="12">
        <f t="shared" ref="C39:AD39" si="14">IF(C17="VG",0.8,IF(C17="G",0.7,IF(C17="MG",0.6,IF(C17="F",0.45,IF(C17="MP",0.35,IF(C17="P",0.3,IF(C17="VP",0.2,"ERROR")))))))</f>
        <v>0.6</v>
      </c>
      <c r="D39" s="23">
        <f t="shared" si="14"/>
        <v>0.7</v>
      </c>
      <c r="E39" s="23">
        <f t="shared" si="14"/>
        <v>0.6</v>
      </c>
      <c r="F39" s="13">
        <f t="shared" si="14"/>
        <v>0.6</v>
      </c>
      <c r="G39" s="12">
        <f t="shared" si="14"/>
        <v>0.45</v>
      </c>
      <c r="H39" s="23">
        <f t="shared" si="14"/>
        <v>0.3</v>
      </c>
      <c r="I39" s="23">
        <f t="shared" si="14"/>
        <v>0.7</v>
      </c>
      <c r="J39" s="13">
        <f t="shared" si="14"/>
        <v>0.6</v>
      </c>
      <c r="K39" s="12">
        <f t="shared" si="14"/>
        <v>0.6</v>
      </c>
      <c r="L39" s="23">
        <f t="shared" si="14"/>
        <v>0.7</v>
      </c>
      <c r="M39" s="23">
        <f t="shared" si="14"/>
        <v>0.6</v>
      </c>
      <c r="N39" s="13">
        <f t="shared" si="14"/>
        <v>0.45</v>
      </c>
      <c r="O39" s="12">
        <f t="shared" si="14"/>
        <v>0.45</v>
      </c>
      <c r="P39" s="23">
        <f t="shared" si="14"/>
        <v>0.8</v>
      </c>
      <c r="Q39" s="23">
        <f t="shared" si="14"/>
        <v>0.8</v>
      </c>
      <c r="R39" s="13">
        <f t="shared" si="14"/>
        <v>0.8</v>
      </c>
      <c r="S39" s="12">
        <f t="shared" si="14"/>
        <v>0.45</v>
      </c>
      <c r="T39" s="23">
        <f t="shared" si="14"/>
        <v>0.6</v>
      </c>
      <c r="U39" s="23">
        <f t="shared" si="14"/>
        <v>0.7</v>
      </c>
      <c r="V39" s="13">
        <f t="shared" si="14"/>
        <v>0.35</v>
      </c>
      <c r="W39" s="12">
        <f t="shared" si="14"/>
        <v>0.8</v>
      </c>
      <c r="X39" s="23">
        <f t="shared" si="14"/>
        <v>0.7</v>
      </c>
      <c r="Y39" s="23">
        <f t="shared" si="14"/>
        <v>0.35</v>
      </c>
      <c r="Z39" s="13">
        <f t="shared" si="14"/>
        <v>0.35</v>
      </c>
      <c r="AA39" s="12">
        <f t="shared" si="14"/>
        <v>0.7</v>
      </c>
      <c r="AB39" s="23">
        <f t="shared" si="14"/>
        <v>0.8</v>
      </c>
      <c r="AC39" s="23">
        <f t="shared" si="14"/>
        <v>0.35</v>
      </c>
      <c r="AD39" s="24">
        <f t="shared" si="14"/>
        <v>0.7</v>
      </c>
      <c r="AF39" s="35" t="s">
        <v>22</v>
      </c>
      <c r="AG39" s="41">
        <f>(C60^$C$25)*(G60^$G$25)*(K60^$K$25)*(O60^$O$25)*(S60^$S$25)*(W60^$W$25)*(AA60^$AA$25)</f>
        <v>0.49428944839380923</v>
      </c>
      <c r="AH39" s="41">
        <f>(D60^$C$25)*(H60^$G$25)*(L60^$K$25)*(P60^$O$25)*(T60^$S$25)*(X60^$W$25)*(AB60^$AA$25)</f>
        <v>0.40005469121934023</v>
      </c>
      <c r="AI39" s="41">
        <f>(E60^$C$25)*(I60^$G$25)*(M60^$K$25)*(Q60^$O$25)*(U60^$S$25)*(Y60^$W$25)*(AC60^$AA$25)</f>
        <v>0.47133686760654747</v>
      </c>
      <c r="AJ39" s="42">
        <f>(F60^$C$25)*(J60^$G$25)*(N60^$K$25)*(R60^$O$25)*(V60^$S$25)*(Z60^$W$25)*(AD60^$AA$25)</f>
        <v>0.51491777557941709</v>
      </c>
      <c r="BA39" s="21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7"/>
    </row>
    <row r="40" spans="2:71" ht="14.7" thickBot="1" x14ac:dyDescent="0.6">
      <c r="B40" s="21" t="s">
        <v>23</v>
      </c>
      <c r="C40" s="12">
        <f t="shared" ref="C40:AD40" si="15">IF(C18="VG",0.8,IF(C18="G",0.7,IF(C18="MG",0.6,IF(C18="F",0.45,IF(C18="MP",0.35,IF(C18="P",0.3,IF(C18="VP",0.2,"ERROR")))))))</f>
        <v>0.45</v>
      </c>
      <c r="D40" s="23">
        <f t="shared" si="15"/>
        <v>0.6</v>
      </c>
      <c r="E40" s="23">
        <f t="shared" si="15"/>
        <v>0.6</v>
      </c>
      <c r="F40" s="13">
        <f t="shared" si="15"/>
        <v>0.6</v>
      </c>
      <c r="G40" s="12">
        <f t="shared" si="15"/>
        <v>0.6</v>
      </c>
      <c r="H40" s="23">
        <f t="shared" si="15"/>
        <v>0.7</v>
      </c>
      <c r="I40" s="23">
        <f t="shared" si="15"/>
        <v>0.35</v>
      </c>
      <c r="J40" s="13">
        <f t="shared" si="15"/>
        <v>0.7</v>
      </c>
      <c r="K40" s="12">
        <f t="shared" si="15"/>
        <v>0.7</v>
      </c>
      <c r="L40" s="23">
        <f t="shared" si="15"/>
        <v>0.8</v>
      </c>
      <c r="M40" s="23">
        <f t="shared" si="15"/>
        <v>0.6</v>
      </c>
      <c r="N40" s="13">
        <f t="shared" si="15"/>
        <v>0.7</v>
      </c>
      <c r="O40" s="12">
        <f t="shared" si="15"/>
        <v>0.45</v>
      </c>
      <c r="P40" s="23">
        <f t="shared" si="15"/>
        <v>0.7</v>
      </c>
      <c r="Q40" s="23">
        <f t="shared" si="15"/>
        <v>0.7</v>
      </c>
      <c r="R40" s="13">
        <f t="shared" si="15"/>
        <v>0.8</v>
      </c>
      <c r="S40" s="12">
        <f t="shared" si="15"/>
        <v>0.8</v>
      </c>
      <c r="T40" s="23">
        <f t="shared" si="15"/>
        <v>0.8</v>
      </c>
      <c r="U40" s="23">
        <f t="shared" si="15"/>
        <v>0.8</v>
      </c>
      <c r="V40" s="13">
        <f t="shared" si="15"/>
        <v>0.8</v>
      </c>
      <c r="W40" s="12">
        <f t="shared" si="15"/>
        <v>0.8</v>
      </c>
      <c r="X40" s="23">
        <f t="shared" si="15"/>
        <v>0.8</v>
      </c>
      <c r="Y40" s="23">
        <f t="shared" si="15"/>
        <v>0.45</v>
      </c>
      <c r="Z40" s="13">
        <f t="shared" si="15"/>
        <v>0.7</v>
      </c>
      <c r="AA40" s="12">
        <f t="shared" si="15"/>
        <v>0.7</v>
      </c>
      <c r="AB40" s="23">
        <f t="shared" si="15"/>
        <v>0.8</v>
      </c>
      <c r="AC40" s="23">
        <f t="shared" si="15"/>
        <v>0.6</v>
      </c>
      <c r="AD40" s="24">
        <f t="shared" si="15"/>
        <v>0.8</v>
      </c>
      <c r="AF40" s="35" t="s">
        <v>23</v>
      </c>
      <c r="AG40" s="41">
        <f>(C61^$C$25)*(G61^$G$25)*(K61^$K$25)*(O61^$O$25)*(S61^$S$25)*(W61^$W$25)*(AA61^$AA$25)</f>
        <v>0.42061251241126146</v>
      </c>
      <c r="AH40" s="41">
        <f>(D61^$C$25)*(H61^$G$25)*(L61^$K$25)*(P61^$O$25)*(T61^$S$25)*(X61^$W$25)*(AB61^$AA$25)</f>
        <v>0.33724194658537432</v>
      </c>
      <c r="AI40" s="41">
        <f>(E61^$C$25)*(I61^$G$25)*(M61^$K$25)*(Q61^$O$25)*(U61^$S$25)*(Y61^$W$25)*(AC61^$AA$25)</f>
        <v>0.48593926257991749</v>
      </c>
      <c r="AJ40" s="42">
        <f>(F61^$C$25)*(J61^$G$25)*(N61^$K$25)*(R61^$O$25)*(V61^$S$25)*(Z61^$W$25)*(AD61^$AA$25)</f>
        <v>0.34475090468070629</v>
      </c>
      <c r="BA40" s="25" t="s">
        <v>64</v>
      </c>
      <c r="BB40" s="39">
        <f>BB38/SUM($BB$38:$BS$38)</f>
        <v>6.4805060722070651E-2</v>
      </c>
      <c r="BC40" s="39">
        <f>BC38/SUM($BB$38:$BS$38)</f>
        <v>0.12642657174886926</v>
      </c>
      <c r="BD40" s="39">
        <f>BD38/SUM($BB$38:$BS$38)</f>
        <v>8.0962436793748691E-2</v>
      </c>
      <c r="BE40" s="39">
        <f>BE38/SUM($BB$38:$BS$38)</f>
        <v>5.823543240051119E-2</v>
      </c>
      <c r="BF40" s="39">
        <f>BF38/SUM($BB$38:$BS$38)</f>
        <v>8.1859531829777926E-2</v>
      </c>
      <c r="BG40" s="39">
        <f>BG38/SUM($BB$38:$BS$38)</f>
        <v>5.1906279884996645E-2</v>
      </c>
      <c r="BH40" s="39">
        <f>BH38/SUM($BB$38:$BS$38)</f>
        <v>2.8299167665004538E-2</v>
      </c>
      <c r="BI40" s="39">
        <f>BI38/SUM($BB$38:$BS$38)</f>
        <v>3.8725503416672469E-2</v>
      </c>
      <c r="BJ40" s="39">
        <f>BJ38/SUM($BB$38:$BS$38)</f>
        <v>6.2679641005470021E-2</v>
      </c>
      <c r="BK40" s="39">
        <f>BK38/SUM($BB$38:$BS$38)</f>
        <v>6.9706895608679723E-2</v>
      </c>
      <c r="BL40" s="39">
        <f>BL38/SUM($BB$38:$BS$38)</f>
        <v>4.9904175250116492E-2</v>
      </c>
      <c r="BM40" s="39">
        <f>BM38/SUM($BB$38:$BS$38)</f>
        <v>5.0621011872409874E-2</v>
      </c>
      <c r="BN40" s="39">
        <f>BN38/SUM($BB$38:$BS$38)</f>
        <v>3.9169847417841804E-2</v>
      </c>
      <c r="BO40" s="39">
        <f>BO38/SUM($BB$38:$BS$38)</f>
        <v>3.1769008054101114E-2</v>
      </c>
      <c r="BP40" s="39">
        <f>BP38/SUM($BB$38:$BS$38)</f>
        <v>3.5686402826567785E-2</v>
      </c>
      <c r="BQ40" s="39">
        <f>BQ38/SUM($BB$38:$BS$38)</f>
        <v>4.3060837140164065E-2</v>
      </c>
      <c r="BR40" s="39">
        <f>BR38/SUM($BB$38:$BS$38)</f>
        <v>4.9497366212090339E-2</v>
      </c>
      <c r="BS40" s="40">
        <f>BS38/SUM($BB$38:$BS$38)</f>
        <v>3.6684830150907392E-2</v>
      </c>
    </row>
    <row r="41" spans="2:71" x14ac:dyDescent="0.55000000000000004">
      <c r="B41" s="21" t="s">
        <v>24</v>
      </c>
      <c r="C41" s="12">
        <f t="shared" ref="C41:AD41" si="16">IF(C19="VG",0.8,IF(C19="G",0.7,IF(C19="MG",0.6,IF(C19="F",0.45,IF(C19="MP",0.35,IF(C19="P",0.3,IF(C19="VP",0.2,"ERROR")))))))</f>
        <v>0.45</v>
      </c>
      <c r="D41" s="23">
        <f t="shared" si="16"/>
        <v>0.7</v>
      </c>
      <c r="E41" s="23">
        <f t="shared" si="16"/>
        <v>0.7</v>
      </c>
      <c r="F41" s="13">
        <f t="shared" si="16"/>
        <v>0.45</v>
      </c>
      <c r="G41" s="12">
        <f t="shared" si="16"/>
        <v>0.6</v>
      </c>
      <c r="H41" s="23">
        <f t="shared" si="16"/>
        <v>0.35</v>
      </c>
      <c r="I41" s="23">
        <f t="shared" si="16"/>
        <v>0.8</v>
      </c>
      <c r="J41" s="13">
        <f t="shared" si="16"/>
        <v>0.6</v>
      </c>
      <c r="K41" s="12">
        <f t="shared" si="16"/>
        <v>0.6</v>
      </c>
      <c r="L41" s="23">
        <f t="shared" si="16"/>
        <v>0.45</v>
      </c>
      <c r="M41" s="23">
        <f t="shared" si="16"/>
        <v>0.8</v>
      </c>
      <c r="N41" s="13">
        <f t="shared" si="16"/>
        <v>0.7</v>
      </c>
      <c r="O41" s="12">
        <f t="shared" si="16"/>
        <v>0.7</v>
      </c>
      <c r="P41" s="23">
        <f t="shared" si="16"/>
        <v>0.6</v>
      </c>
      <c r="Q41" s="23">
        <f t="shared" si="16"/>
        <v>0.6</v>
      </c>
      <c r="R41" s="13">
        <f t="shared" si="16"/>
        <v>0.3</v>
      </c>
      <c r="S41" s="12">
        <f t="shared" si="16"/>
        <v>0.45</v>
      </c>
      <c r="T41" s="23">
        <f t="shared" si="16"/>
        <v>0.45</v>
      </c>
      <c r="U41" s="23">
        <f t="shared" si="16"/>
        <v>0.7</v>
      </c>
      <c r="V41" s="13">
        <f t="shared" si="16"/>
        <v>0.6</v>
      </c>
      <c r="W41" s="12">
        <f t="shared" si="16"/>
        <v>0.6</v>
      </c>
      <c r="X41" s="23">
        <f t="shared" si="16"/>
        <v>0.6</v>
      </c>
      <c r="Y41" s="23">
        <f t="shared" si="16"/>
        <v>0.7</v>
      </c>
      <c r="Z41" s="13">
        <f t="shared" si="16"/>
        <v>0.45</v>
      </c>
      <c r="AA41" s="12">
        <f t="shared" si="16"/>
        <v>0.6</v>
      </c>
      <c r="AB41" s="23">
        <f t="shared" si="16"/>
        <v>0.35</v>
      </c>
      <c r="AC41" s="23">
        <f t="shared" si="16"/>
        <v>0.8</v>
      </c>
      <c r="AD41" s="24">
        <f t="shared" si="16"/>
        <v>0.45</v>
      </c>
      <c r="AF41" s="35" t="s">
        <v>24</v>
      </c>
      <c r="AG41" s="41">
        <f>(C62^$C$25)*(G62^$G$25)*(K62^$K$25)*(O62^$O$25)*(S62^$S$25)*(W62^$W$25)*(AA62^$AA$25)</f>
        <v>0.51214907943123389</v>
      </c>
      <c r="AH41" s="41">
        <f>(D62^$C$25)*(H62^$G$25)*(L62^$K$25)*(P62^$O$25)*(T62^$S$25)*(X62^$W$25)*(AB62^$AA$25)</f>
        <v>0.57505341214305161</v>
      </c>
      <c r="AI41" s="41">
        <f>(E62^$C$25)*(I62^$G$25)*(M62^$K$25)*(Q62^$O$25)*(U62^$S$25)*(Y62^$W$25)*(AC62^$AA$25)</f>
        <v>0.34475090468070624</v>
      </c>
      <c r="AJ41" s="42">
        <f>(F62^$C$25)*(J62^$G$25)*(N62^$K$25)*(R62^$O$25)*(V62^$S$25)*(Z62^$W$25)*(AD62^$AA$25)</f>
        <v>0.57358170773563133</v>
      </c>
    </row>
    <row r="42" spans="2:71" x14ac:dyDescent="0.55000000000000004">
      <c r="B42" s="21" t="s">
        <v>25</v>
      </c>
      <c r="C42" s="12">
        <f t="shared" ref="C42:AD42" si="17">IF(C20="VG",0.8,IF(C20="G",0.7,IF(C20="MG",0.6,IF(C20="F",0.45,IF(C20="MP",0.35,IF(C20="P",0.3,IF(C20="VP",0.2,"ERROR")))))))</f>
        <v>0.7</v>
      </c>
      <c r="D42" s="23">
        <f t="shared" si="17"/>
        <v>0.45</v>
      </c>
      <c r="E42" s="23">
        <f t="shared" si="17"/>
        <v>0.7</v>
      </c>
      <c r="F42" s="13">
        <f t="shared" si="17"/>
        <v>0.6</v>
      </c>
      <c r="G42" s="12">
        <f t="shared" si="17"/>
        <v>0.35</v>
      </c>
      <c r="H42" s="23">
        <f t="shared" si="17"/>
        <v>0.35</v>
      </c>
      <c r="I42" s="23">
        <f t="shared" si="17"/>
        <v>0.7</v>
      </c>
      <c r="J42" s="13">
        <f t="shared" si="17"/>
        <v>0.45</v>
      </c>
      <c r="K42" s="12">
        <f t="shared" si="17"/>
        <v>0.6</v>
      </c>
      <c r="L42" s="23">
        <f t="shared" si="17"/>
        <v>0.7</v>
      </c>
      <c r="M42" s="23">
        <f t="shared" si="17"/>
        <v>0.6</v>
      </c>
      <c r="N42" s="13">
        <f t="shared" si="17"/>
        <v>0.45</v>
      </c>
      <c r="O42" s="12">
        <f t="shared" si="17"/>
        <v>0.7</v>
      </c>
      <c r="P42" s="23">
        <f t="shared" si="17"/>
        <v>0.7</v>
      </c>
      <c r="Q42" s="23">
        <f t="shared" si="17"/>
        <v>0.7</v>
      </c>
      <c r="R42" s="13">
        <f t="shared" si="17"/>
        <v>0.7</v>
      </c>
      <c r="S42" s="12">
        <f t="shared" si="17"/>
        <v>0.7</v>
      </c>
      <c r="T42" s="23">
        <f t="shared" si="17"/>
        <v>0.8</v>
      </c>
      <c r="U42" s="23">
        <f t="shared" si="17"/>
        <v>0.7</v>
      </c>
      <c r="V42" s="13">
        <f t="shared" si="17"/>
        <v>0.35</v>
      </c>
      <c r="W42" s="12">
        <f t="shared" si="17"/>
        <v>0.7</v>
      </c>
      <c r="X42" s="23">
        <f t="shared" si="17"/>
        <v>0.35</v>
      </c>
      <c r="Y42" s="23">
        <f t="shared" si="17"/>
        <v>0.35</v>
      </c>
      <c r="Z42" s="13">
        <f t="shared" si="17"/>
        <v>0.6</v>
      </c>
      <c r="AA42" s="12">
        <f t="shared" si="17"/>
        <v>0.6</v>
      </c>
      <c r="AB42" s="23">
        <f t="shared" si="17"/>
        <v>0.35</v>
      </c>
      <c r="AC42" s="23">
        <f t="shared" si="17"/>
        <v>0.8</v>
      </c>
      <c r="AD42" s="24">
        <f t="shared" si="17"/>
        <v>0.45</v>
      </c>
      <c r="AF42" s="35" t="s">
        <v>25</v>
      </c>
      <c r="AG42" s="41">
        <f>(C63^$C$25)*(G63^$G$25)*(K63^$K$25)*(O63^$O$25)*(S63^$S$25)*(W63^$W$25)*(AA63^$AA$25)</f>
        <v>0.43212609473550645</v>
      </c>
      <c r="AH42" s="41">
        <f>(D63^$C$25)*(H63^$G$25)*(L63^$K$25)*(P63^$O$25)*(T63^$S$25)*(X63^$W$25)*(AB63^$AA$25)</f>
        <v>0.5185193013303987</v>
      </c>
      <c r="AI42" s="41">
        <f>(E63^$C$25)*(I63^$G$25)*(M63^$K$25)*(Q63^$O$25)*(U63^$S$25)*(Y63^$W$25)*(AC63^$AA$25)</f>
        <v>0.40171478329029764</v>
      </c>
      <c r="AJ42" s="42">
        <f>(F63^$C$25)*(J63^$G$25)*(N63^$K$25)*(R63^$O$25)*(V63^$S$25)*(Z63^$W$25)*(AD63^$AA$25)</f>
        <v>0.5634169552494418</v>
      </c>
    </row>
    <row r="43" spans="2:71" x14ac:dyDescent="0.55000000000000004">
      <c r="B43" s="21" t="s">
        <v>26</v>
      </c>
      <c r="C43" s="12">
        <f t="shared" ref="C43:AD43" si="18">IF(C21="VG",0.8,IF(C21="G",0.7,IF(C21="MG",0.6,IF(C21="F",0.45,IF(C21="MP",0.35,IF(C21="P",0.3,IF(C21="VP",0.2,"ERROR")))))))</f>
        <v>0.6</v>
      </c>
      <c r="D43" s="23">
        <f t="shared" si="18"/>
        <v>0.7</v>
      </c>
      <c r="E43" s="23">
        <f t="shared" si="18"/>
        <v>0.7</v>
      </c>
      <c r="F43" s="13">
        <f t="shared" si="18"/>
        <v>0.6</v>
      </c>
      <c r="G43" s="12">
        <f t="shared" si="18"/>
        <v>0.6</v>
      </c>
      <c r="H43" s="23">
        <f t="shared" si="18"/>
        <v>0.7</v>
      </c>
      <c r="I43" s="23">
        <f t="shared" si="18"/>
        <v>0.35</v>
      </c>
      <c r="J43" s="13">
        <f t="shared" si="18"/>
        <v>0.6</v>
      </c>
      <c r="K43" s="12">
        <f t="shared" si="18"/>
        <v>0.6</v>
      </c>
      <c r="L43" s="23">
        <f t="shared" si="18"/>
        <v>0.8</v>
      </c>
      <c r="M43" s="23">
        <f t="shared" si="18"/>
        <v>0.45</v>
      </c>
      <c r="N43" s="13">
        <f t="shared" si="18"/>
        <v>0.6</v>
      </c>
      <c r="O43" s="12">
        <f t="shared" si="18"/>
        <v>0.7</v>
      </c>
      <c r="P43" s="23">
        <f t="shared" si="18"/>
        <v>0.7</v>
      </c>
      <c r="Q43" s="23">
        <f t="shared" si="18"/>
        <v>0.8</v>
      </c>
      <c r="R43" s="13">
        <f t="shared" si="18"/>
        <v>0.7</v>
      </c>
      <c r="S43" s="12">
        <f t="shared" si="18"/>
        <v>0.8</v>
      </c>
      <c r="T43" s="23">
        <f t="shared" si="18"/>
        <v>0.8</v>
      </c>
      <c r="U43" s="23">
        <f t="shared" si="18"/>
        <v>0.7</v>
      </c>
      <c r="V43" s="13">
        <f t="shared" si="18"/>
        <v>0.7</v>
      </c>
      <c r="W43" s="12">
        <f t="shared" si="18"/>
        <v>0.8</v>
      </c>
      <c r="X43" s="23">
        <f t="shared" si="18"/>
        <v>0.7</v>
      </c>
      <c r="Y43" s="23">
        <f t="shared" si="18"/>
        <v>0.7</v>
      </c>
      <c r="Z43" s="13">
        <f t="shared" si="18"/>
        <v>0.45</v>
      </c>
      <c r="AA43" s="12">
        <f t="shared" si="18"/>
        <v>0.7</v>
      </c>
      <c r="AB43" s="23">
        <f t="shared" si="18"/>
        <v>0.8</v>
      </c>
      <c r="AC43" s="23">
        <f t="shared" si="18"/>
        <v>0.35</v>
      </c>
      <c r="AD43" s="24">
        <f t="shared" si="18"/>
        <v>0.6</v>
      </c>
      <c r="AF43" s="35" t="s">
        <v>26</v>
      </c>
      <c r="AG43" s="41">
        <f>(C64^$C$25)*(G64^$G$25)*(K64^$K$25)*(O64^$O$25)*(S64^$S$25)*(W64^$W$25)*(AA64^$AA$25)</f>
        <v>0.39023565231982893</v>
      </c>
      <c r="AH43" s="41">
        <f>(D64^$C$25)*(H64^$G$25)*(L64^$K$25)*(P64^$O$25)*(T64^$S$25)*(X64^$W$25)*(AB64^$AA$25)</f>
        <v>0.32762464477968734</v>
      </c>
      <c r="AI43" s="41">
        <f>(E64^$C$25)*(I64^$G$25)*(M64^$K$25)*(Q64^$O$25)*(U64^$S$25)*(Y64^$W$25)*(AC64^$AA$25)</f>
        <v>0.46502915474960377</v>
      </c>
      <c r="AJ43" s="42">
        <f>(F64^$C$25)*(J64^$G$25)*(N64^$K$25)*(R64^$O$25)*(V64^$S$25)*(Z64^$W$25)*(AD64^$AA$25)</f>
        <v>0.46880250458446976</v>
      </c>
    </row>
    <row r="44" spans="2:71" ht="14.7" thickBot="1" x14ac:dyDescent="0.6">
      <c r="B44" s="25" t="s">
        <v>27</v>
      </c>
      <c r="C44" s="26">
        <f t="shared" ref="C44:AD44" si="19">IF(C22="VG",0.8,IF(C22="G",0.7,IF(C22="MG",0.6,IF(C22="F",0.45,IF(C22="MP",0.35,IF(C22="P",0.3,IF(C22="VP",0.2,"ERROR")))))))</f>
        <v>0.6</v>
      </c>
      <c r="D44" s="27">
        <f t="shared" si="19"/>
        <v>0.6</v>
      </c>
      <c r="E44" s="27">
        <f t="shared" si="19"/>
        <v>0.7</v>
      </c>
      <c r="F44" s="28">
        <f t="shared" si="19"/>
        <v>0.6</v>
      </c>
      <c r="G44" s="26">
        <f t="shared" si="19"/>
        <v>0.45</v>
      </c>
      <c r="H44" s="27">
        <f t="shared" si="19"/>
        <v>0.35</v>
      </c>
      <c r="I44" s="27">
        <f t="shared" si="19"/>
        <v>0.7</v>
      </c>
      <c r="J44" s="28">
        <f t="shared" si="19"/>
        <v>0.7</v>
      </c>
      <c r="K44" s="26">
        <f t="shared" si="19"/>
        <v>0.45</v>
      </c>
      <c r="L44" s="27">
        <f t="shared" si="19"/>
        <v>0.6</v>
      </c>
      <c r="M44" s="27">
        <f t="shared" si="19"/>
        <v>0.7</v>
      </c>
      <c r="N44" s="28">
        <f t="shared" si="19"/>
        <v>0.6</v>
      </c>
      <c r="O44" s="26">
        <f t="shared" si="19"/>
        <v>0.7</v>
      </c>
      <c r="P44" s="27">
        <f t="shared" si="19"/>
        <v>0.7</v>
      </c>
      <c r="Q44" s="27">
        <f t="shared" si="19"/>
        <v>0.8</v>
      </c>
      <c r="R44" s="28">
        <f t="shared" si="19"/>
        <v>0.8</v>
      </c>
      <c r="S44" s="26">
        <f t="shared" si="19"/>
        <v>0.35</v>
      </c>
      <c r="T44" s="27">
        <f t="shared" si="19"/>
        <v>0.7</v>
      </c>
      <c r="U44" s="27">
        <f t="shared" si="19"/>
        <v>0.6</v>
      </c>
      <c r="V44" s="28">
        <f t="shared" si="19"/>
        <v>0.7</v>
      </c>
      <c r="W44" s="26">
        <f t="shared" si="19"/>
        <v>0.7</v>
      </c>
      <c r="X44" s="27">
        <f t="shared" si="19"/>
        <v>0.45</v>
      </c>
      <c r="Y44" s="27">
        <f t="shared" si="19"/>
        <v>0.7</v>
      </c>
      <c r="Z44" s="28">
        <f t="shared" si="19"/>
        <v>0.6</v>
      </c>
      <c r="AA44" s="26">
        <f t="shared" si="19"/>
        <v>0.7</v>
      </c>
      <c r="AB44" s="27">
        <f t="shared" si="19"/>
        <v>0.35</v>
      </c>
      <c r="AC44" s="27">
        <f t="shared" si="19"/>
        <v>0.45</v>
      </c>
      <c r="AD44" s="29">
        <f t="shared" si="19"/>
        <v>0.8</v>
      </c>
      <c r="AF44" s="38" t="s">
        <v>27</v>
      </c>
      <c r="AG44" s="43">
        <f>(C65^$C$25)*(G65^$G$25)*(K65^$K$25)*(O65^$O$25)*(S65^$S$25)*(W65^$W$25)*(AA65^$AA$25)</f>
        <v>0.4901111555572768</v>
      </c>
      <c r="AH44" s="43">
        <f>(D65^$C$25)*(H65^$G$25)*(L65^$K$25)*(P65^$O$25)*(T65^$S$25)*(X65^$W$25)*(AB65^$AA$25)</f>
        <v>0.52638282623078547</v>
      </c>
      <c r="AI44" s="43">
        <f>(E65^$C$25)*(I65^$G$25)*(M65^$K$25)*(Q65^$O$25)*(U65^$S$25)*(Y65^$W$25)*(AC65^$AA$25)</f>
        <v>0.39358590924038506</v>
      </c>
      <c r="AJ44" s="44">
        <f>(F65^$C$25)*(J65^$G$25)*(N65^$K$25)*(R65^$O$25)*(V65^$S$25)*(Z65^$W$25)*(AD65^$AA$25)</f>
        <v>0.39023565231982887</v>
      </c>
    </row>
    <row r="46" spans="2:71" ht="20.7" thickBot="1" x14ac:dyDescent="0.8">
      <c r="B46" s="33" t="s">
        <v>67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</row>
    <row r="47" spans="2:71" x14ac:dyDescent="0.55000000000000004">
      <c r="B47" s="30"/>
      <c r="C47" s="19" t="s">
        <v>6</v>
      </c>
      <c r="D47" s="19" t="s">
        <v>7</v>
      </c>
      <c r="E47" s="19" t="s">
        <v>8</v>
      </c>
      <c r="F47" s="19" t="s">
        <v>9</v>
      </c>
      <c r="G47" s="19" t="s">
        <v>6</v>
      </c>
      <c r="H47" s="19" t="s">
        <v>7</v>
      </c>
      <c r="I47" s="19" t="s">
        <v>8</v>
      </c>
      <c r="J47" s="19" t="s">
        <v>9</v>
      </c>
      <c r="K47" s="19" t="s">
        <v>6</v>
      </c>
      <c r="L47" s="19" t="s">
        <v>7</v>
      </c>
      <c r="M47" s="19" t="s">
        <v>8</v>
      </c>
      <c r="N47" s="19" t="s">
        <v>9</v>
      </c>
      <c r="O47" s="19" t="s">
        <v>6</v>
      </c>
      <c r="P47" s="19" t="s">
        <v>7</v>
      </c>
      <c r="Q47" s="19" t="s">
        <v>8</v>
      </c>
      <c r="R47" s="19" t="s">
        <v>9</v>
      </c>
      <c r="S47" s="19" t="s">
        <v>6</v>
      </c>
      <c r="T47" s="19" t="s">
        <v>7</v>
      </c>
      <c r="U47" s="19" t="s">
        <v>8</v>
      </c>
      <c r="V47" s="19" t="s">
        <v>9</v>
      </c>
      <c r="W47" s="19" t="s">
        <v>6</v>
      </c>
      <c r="X47" s="19" t="s">
        <v>7</v>
      </c>
      <c r="Y47" s="19" t="s">
        <v>8</v>
      </c>
      <c r="Z47" s="19" t="s">
        <v>9</v>
      </c>
      <c r="AA47" s="19" t="s">
        <v>6</v>
      </c>
      <c r="AB47" s="19" t="s">
        <v>7</v>
      </c>
      <c r="AC47" s="19" t="s">
        <v>8</v>
      </c>
      <c r="AD47" s="20" t="s">
        <v>9</v>
      </c>
    </row>
    <row r="48" spans="2:71" x14ac:dyDescent="0.55000000000000004">
      <c r="B48" s="21" t="s">
        <v>10</v>
      </c>
      <c r="C48" s="9">
        <f>IF(C5="VG",0.3,IF(C5="G",0.35,IF(C5="MG",0.5,IF(C5="F",0.65,IF(C5="MP",0.75,IF(C5="P",0.85,IF(C5="VP",0.9,"ERROR")))))))</f>
        <v>0.75</v>
      </c>
      <c r="D48" s="10">
        <f t="shared" ref="D48:AD48" si="20">IF(D5="VG",0.3,IF(D5="G",0.35,IF(D5="MG",0.5,IF(D5="F",0.65,IF(D5="MP",0.75,IF(D5="P",0.85,IF(D5="VP",0.9,"ERROR")))))))</f>
        <v>0.5</v>
      </c>
      <c r="E48" s="10">
        <f t="shared" si="20"/>
        <v>0.85</v>
      </c>
      <c r="F48" s="11">
        <f t="shared" si="20"/>
        <v>0.75</v>
      </c>
      <c r="G48" s="9">
        <f t="shared" si="20"/>
        <v>0.75</v>
      </c>
      <c r="H48" s="10">
        <f t="shared" si="20"/>
        <v>0.65</v>
      </c>
      <c r="I48" s="10">
        <f t="shared" si="20"/>
        <v>0.35</v>
      </c>
      <c r="J48" s="11">
        <f t="shared" si="20"/>
        <v>0.85</v>
      </c>
      <c r="K48" s="9">
        <f t="shared" si="20"/>
        <v>0.65</v>
      </c>
      <c r="L48" s="10">
        <f t="shared" si="20"/>
        <v>0.5</v>
      </c>
      <c r="M48" s="10">
        <f t="shared" si="20"/>
        <v>0.35</v>
      </c>
      <c r="N48" s="11">
        <f t="shared" si="20"/>
        <v>0.35</v>
      </c>
      <c r="O48" s="9">
        <f t="shared" si="20"/>
        <v>0.85</v>
      </c>
      <c r="P48" s="10">
        <f t="shared" si="20"/>
        <v>0.5</v>
      </c>
      <c r="Q48" s="10">
        <f t="shared" si="20"/>
        <v>0.5</v>
      </c>
      <c r="R48" s="11">
        <f t="shared" si="20"/>
        <v>0.85</v>
      </c>
      <c r="S48" s="9">
        <f t="shared" si="20"/>
        <v>0.85</v>
      </c>
      <c r="T48" s="10">
        <f t="shared" si="20"/>
        <v>0.5</v>
      </c>
      <c r="U48" s="10">
        <f t="shared" si="20"/>
        <v>0.35</v>
      </c>
      <c r="V48" s="11">
        <f t="shared" si="20"/>
        <v>0.3</v>
      </c>
      <c r="W48" s="9">
        <f t="shared" si="20"/>
        <v>0.35</v>
      </c>
      <c r="X48" s="10">
        <f t="shared" si="20"/>
        <v>0.35</v>
      </c>
      <c r="Y48" s="10">
        <f t="shared" si="20"/>
        <v>0.3</v>
      </c>
      <c r="Z48" s="11">
        <f t="shared" si="20"/>
        <v>0.75</v>
      </c>
      <c r="AA48" s="9">
        <f t="shared" si="20"/>
        <v>0.5</v>
      </c>
      <c r="AB48" s="10">
        <f t="shared" si="20"/>
        <v>0.75</v>
      </c>
      <c r="AC48" s="10">
        <f t="shared" si="20"/>
        <v>0.35</v>
      </c>
      <c r="AD48" s="22">
        <f t="shared" si="20"/>
        <v>0.65</v>
      </c>
    </row>
    <row r="49" spans="2:71" x14ac:dyDescent="0.55000000000000004">
      <c r="B49" s="21" t="s">
        <v>11</v>
      </c>
      <c r="C49" s="12">
        <f t="shared" ref="C49:AD49" si="21">IF(C6="VG",0.3,IF(C6="G",0.35,IF(C6="MG",0.5,IF(C6="F",0.65,IF(C6="MP",0.75,IF(C6="P",0.85,IF(C6="VP",0.9,"ERROR")))))))</f>
        <v>0.75</v>
      </c>
      <c r="D49" s="23">
        <f t="shared" si="21"/>
        <v>0.5</v>
      </c>
      <c r="E49" s="23">
        <f t="shared" si="21"/>
        <v>0.85</v>
      </c>
      <c r="F49" s="13">
        <f t="shared" si="21"/>
        <v>0.75</v>
      </c>
      <c r="G49" s="12">
        <f t="shared" si="21"/>
        <v>0.75</v>
      </c>
      <c r="H49" s="23">
        <f t="shared" si="21"/>
        <v>0.5</v>
      </c>
      <c r="I49" s="23">
        <f t="shared" si="21"/>
        <v>0.85</v>
      </c>
      <c r="J49" s="13">
        <f t="shared" si="21"/>
        <v>0.75</v>
      </c>
      <c r="K49" s="12">
        <f t="shared" si="21"/>
        <v>0.65</v>
      </c>
      <c r="L49" s="23">
        <f t="shared" si="21"/>
        <v>0.5</v>
      </c>
      <c r="M49" s="23">
        <f t="shared" si="21"/>
        <v>0.5</v>
      </c>
      <c r="N49" s="13">
        <f t="shared" si="21"/>
        <v>0.65</v>
      </c>
      <c r="O49" s="12">
        <f t="shared" si="21"/>
        <v>0.85</v>
      </c>
      <c r="P49" s="23">
        <f t="shared" si="21"/>
        <v>0.5</v>
      </c>
      <c r="Q49" s="23">
        <f t="shared" si="21"/>
        <v>0.5</v>
      </c>
      <c r="R49" s="13">
        <f t="shared" si="21"/>
        <v>0.85</v>
      </c>
      <c r="S49" s="12">
        <f t="shared" si="21"/>
        <v>0.9</v>
      </c>
      <c r="T49" s="23">
        <f t="shared" si="21"/>
        <v>0.35</v>
      </c>
      <c r="U49" s="23">
        <f t="shared" si="21"/>
        <v>0.5</v>
      </c>
      <c r="V49" s="13">
        <f t="shared" si="21"/>
        <v>0.75</v>
      </c>
      <c r="W49" s="12">
        <f t="shared" si="21"/>
        <v>0.75</v>
      </c>
      <c r="X49" s="23">
        <f t="shared" si="21"/>
        <v>0.65</v>
      </c>
      <c r="Y49" s="23">
        <f t="shared" si="21"/>
        <v>0.3</v>
      </c>
      <c r="Z49" s="13">
        <f t="shared" si="21"/>
        <v>0.75</v>
      </c>
      <c r="AA49" s="12">
        <f t="shared" si="21"/>
        <v>0.35</v>
      </c>
      <c r="AB49" s="23">
        <f t="shared" si="21"/>
        <v>0.75</v>
      </c>
      <c r="AC49" s="23">
        <f t="shared" si="21"/>
        <v>0.5</v>
      </c>
      <c r="AD49" s="24">
        <f t="shared" si="21"/>
        <v>0.65</v>
      </c>
    </row>
    <row r="50" spans="2:71" x14ac:dyDescent="0.55000000000000004">
      <c r="B50" s="21" t="s">
        <v>12</v>
      </c>
      <c r="C50" s="12">
        <f t="shared" ref="C50:AD50" si="22">IF(C7="VG",0.3,IF(C7="G",0.35,IF(C7="MG",0.5,IF(C7="F",0.65,IF(C7="MP",0.75,IF(C7="P",0.85,IF(C7="VP",0.9,"ERROR")))))))</f>
        <v>0.75</v>
      </c>
      <c r="D50" s="23">
        <f t="shared" si="22"/>
        <v>0.5</v>
      </c>
      <c r="E50" s="23">
        <f t="shared" si="22"/>
        <v>0.65</v>
      </c>
      <c r="F50" s="13">
        <f t="shared" si="22"/>
        <v>0.75</v>
      </c>
      <c r="G50" s="12">
        <f t="shared" si="22"/>
        <v>0.85</v>
      </c>
      <c r="H50" s="23">
        <f t="shared" si="22"/>
        <v>0.65</v>
      </c>
      <c r="I50" s="23">
        <f t="shared" si="22"/>
        <v>0.35</v>
      </c>
      <c r="J50" s="13">
        <f t="shared" si="22"/>
        <v>0.5</v>
      </c>
      <c r="K50" s="12">
        <f t="shared" si="22"/>
        <v>0.35</v>
      </c>
      <c r="L50" s="23">
        <f t="shared" si="22"/>
        <v>0.5</v>
      </c>
      <c r="M50" s="23">
        <f t="shared" si="22"/>
        <v>0.65</v>
      </c>
      <c r="N50" s="13">
        <f t="shared" si="22"/>
        <v>0.35</v>
      </c>
      <c r="O50" s="12">
        <f t="shared" si="22"/>
        <v>0.85</v>
      </c>
      <c r="P50" s="23">
        <f t="shared" si="22"/>
        <v>0.5</v>
      </c>
      <c r="Q50" s="23">
        <f t="shared" si="22"/>
        <v>0.5</v>
      </c>
      <c r="R50" s="13">
        <f t="shared" si="22"/>
        <v>0.85</v>
      </c>
      <c r="S50" s="12">
        <f t="shared" si="22"/>
        <v>0.35</v>
      </c>
      <c r="T50" s="23">
        <f t="shared" si="22"/>
        <v>0.5</v>
      </c>
      <c r="U50" s="23">
        <f t="shared" si="22"/>
        <v>0.65</v>
      </c>
      <c r="V50" s="13">
        <f t="shared" si="22"/>
        <v>0.3</v>
      </c>
      <c r="W50" s="12">
        <f t="shared" si="22"/>
        <v>0.35</v>
      </c>
      <c r="X50" s="23">
        <f t="shared" si="22"/>
        <v>0.3</v>
      </c>
      <c r="Y50" s="23">
        <f t="shared" si="22"/>
        <v>0.75</v>
      </c>
      <c r="Z50" s="13">
        <f t="shared" si="22"/>
        <v>0.85</v>
      </c>
      <c r="AA50" s="12">
        <f t="shared" si="22"/>
        <v>0.5</v>
      </c>
      <c r="AB50" s="23">
        <f t="shared" si="22"/>
        <v>0.65</v>
      </c>
      <c r="AC50" s="23">
        <f t="shared" si="22"/>
        <v>0.85</v>
      </c>
      <c r="AD50" s="24">
        <f t="shared" si="22"/>
        <v>0.5</v>
      </c>
      <c r="BB50" s="1" t="s">
        <v>37</v>
      </c>
      <c r="BC50" s="1" t="s">
        <v>38</v>
      </c>
      <c r="BD50" s="1" t="s">
        <v>39</v>
      </c>
      <c r="BE50" s="1" t="s">
        <v>40</v>
      </c>
      <c r="BF50" s="1" t="s">
        <v>41</v>
      </c>
      <c r="BG50" s="1" t="s">
        <v>42</v>
      </c>
      <c r="BH50" s="1" t="s">
        <v>43</v>
      </c>
      <c r="BI50" s="1" t="s">
        <v>44</v>
      </c>
      <c r="BJ50" s="1" t="s">
        <v>45</v>
      </c>
      <c r="BK50" s="1" t="s">
        <v>46</v>
      </c>
      <c r="BL50" s="1" t="s">
        <v>47</v>
      </c>
      <c r="BM50" s="1" t="s">
        <v>48</v>
      </c>
      <c r="BN50" s="1" t="s">
        <v>49</v>
      </c>
      <c r="BO50" s="1" t="s">
        <v>50</v>
      </c>
      <c r="BP50" s="1" t="s">
        <v>51</v>
      </c>
      <c r="BQ50" s="1" t="s">
        <v>52</v>
      </c>
      <c r="BR50" s="1" t="s">
        <v>53</v>
      </c>
      <c r="BS50" s="1" t="s">
        <v>54</v>
      </c>
    </row>
    <row r="51" spans="2:71" x14ac:dyDescent="0.55000000000000004">
      <c r="B51" s="21" t="s">
        <v>13</v>
      </c>
      <c r="C51" s="12">
        <f t="shared" ref="C51:AD51" si="23">IF(C8="VG",0.3,IF(C8="G",0.35,IF(C8="MG",0.5,IF(C8="F",0.65,IF(C8="MP",0.75,IF(C8="P",0.85,IF(C8="VP",0.9,"ERROR")))))))</f>
        <v>0.35</v>
      </c>
      <c r="D51" s="23">
        <f t="shared" si="23"/>
        <v>0.5</v>
      </c>
      <c r="E51" s="23">
        <f t="shared" si="23"/>
        <v>0.35</v>
      </c>
      <c r="F51" s="13">
        <f t="shared" si="23"/>
        <v>0.35</v>
      </c>
      <c r="G51" s="12">
        <f t="shared" si="23"/>
        <v>0.5</v>
      </c>
      <c r="H51" s="23">
        <f t="shared" si="23"/>
        <v>0.65</v>
      </c>
      <c r="I51" s="23">
        <f t="shared" si="23"/>
        <v>0.35</v>
      </c>
      <c r="J51" s="13">
        <f t="shared" si="23"/>
        <v>0.75</v>
      </c>
      <c r="K51" s="12">
        <f t="shared" si="23"/>
        <v>0.5</v>
      </c>
      <c r="L51" s="23">
        <f t="shared" si="23"/>
        <v>0.35</v>
      </c>
      <c r="M51" s="23">
        <f t="shared" si="23"/>
        <v>0.5</v>
      </c>
      <c r="N51" s="13">
        <f t="shared" si="23"/>
        <v>0.65</v>
      </c>
      <c r="O51" s="12">
        <f t="shared" si="23"/>
        <v>0.35</v>
      </c>
      <c r="P51" s="23">
        <f t="shared" si="23"/>
        <v>0.35</v>
      </c>
      <c r="Q51" s="23">
        <f t="shared" si="23"/>
        <v>0.35</v>
      </c>
      <c r="R51" s="13">
        <f t="shared" si="23"/>
        <v>0.35</v>
      </c>
      <c r="S51" s="12">
        <f t="shared" si="23"/>
        <v>0.5</v>
      </c>
      <c r="T51" s="23">
        <f t="shared" si="23"/>
        <v>0.35</v>
      </c>
      <c r="U51" s="23">
        <f t="shared" si="23"/>
        <v>0.5</v>
      </c>
      <c r="V51" s="13">
        <f t="shared" si="23"/>
        <v>0.65</v>
      </c>
      <c r="W51" s="12">
        <f t="shared" si="23"/>
        <v>0.5</v>
      </c>
      <c r="X51" s="23">
        <f t="shared" si="23"/>
        <v>0.35</v>
      </c>
      <c r="Y51" s="23">
        <f t="shared" si="23"/>
        <v>0.35</v>
      </c>
      <c r="Z51" s="13">
        <f t="shared" si="23"/>
        <v>0.5</v>
      </c>
      <c r="AA51" s="12">
        <f t="shared" si="23"/>
        <v>0.35</v>
      </c>
      <c r="AB51" s="23">
        <f t="shared" si="23"/>
        <v>0.3</v>
      </c>
      <c r="AC51" s="23">
        <f t="shared" si="23"/>
        <v>0.65</v>
      </c>
      <c r="AD51" s="24">
        <f t="shared" si="23"/>
        <v>0.3</v>
      </c>
    </row>
    <row r="52" spans="2:71" x14ac:dyDescent="0.55000000000000004">
      <c r="B52" s="21" t="s">
        <v>14</v>
      </c>
      <c r="C52" s="12">
        <f t="shared" ref="C52:AD52" si="24">IF(C9="VG",0.3,IF(C9="G",0.35,IF(C9="MG",0.5,IF(C9="F",0.65,IF(C9="MP",0.75,IF(C9="P",0.85,IF(C9="VP",0.9,"ERROR")))))))</f>
        <v>0.75</v>
      </c>
      <c r="D52" s="23">
        <f t="shared" si="24"/>
        <v>0.5</v>
      </c>
      <c r="E52" s="23">
        <f t="shared" si="24"/>
        <v>0.35</v>
      </c>
      <c r="F52" s="13">
        <f t="shared" si="24"/>
        <v>0.75</v>
      </c>
      <c r="G52" s="12">
        <f t="shared" si="24"/>
        <v>0.35</v>
      </c>
      <c r="H52" s="23">
        <f t="shared" si="24"/>
        <v>0.5</v>
      </c>
      <c r="I52" s="23">
        <f t="shared" si="24"/>
        <v>0.75</v>
      </c>
      <c r="J52" s="13">
        <f t="shared" si="24"/>
        <v>0.35</v>
      </c>
      <c r="K52" s="12">
        <f t="shared" si="24"/>
        <v>0.75</v>
      </c>
      <c r="L52" s="23">
        <f t="shared" si="24"/>
        <v>0.5</v>
      </c>
      <c r="M52" s="23">
        <f t="shared" si="24"/>
        <v>0.35</v>
      </c>
      <c r="N52" s="13">
        <f t="shared" si="24"/>
        <v>0.65</v>
      </c>
      <c r="O52" s="12">
        <f t="shared" si="24"/>
        <v>0.35</v>
      </c>
      <c r="P52" s="23">
        <f t="shared" si="24"/>
        <v>0.35</v>
      </c>
      <c r="Q52" s="23">
        <f t="shared" si="24"/>
        <v>0.35</v>
      </c>
      <c r="R52" s="13">
        <f t="shared" si="24"/>
        <v>0.35</v>
      </c>
      <c r="S52" s="12">
        <f t="shared" si="24"/>
        <v>0.75</v>
      </c>
      <c r="T52" s="23">
        <f t="shared" si="24"/>
        <v>0.5</v>
      </c>
      <c r="U52" s="23">
        <f t="shared" si="24"/>
        <v>0.35</v>
      </c>
      <c r="V52" s="13">
        <f t="shared" si="24"/>
        <v>0.5</v>
      </c>
      <c r="W52" s="12">
        <f t="shared" si="24"/>
        <v>0.65</v>
      </c>
      <c r="X52" s="23">
        <f t="shared" si="24"/>
        <v>0.75</v>
      </c>
      <c r="Y52" s="23">
        <f t="shared" si="24"/>
        <v>0.35</v>
      </c>
      <c r="Z52" s="13">
        <f t="shared" si="24"/>
        <v>0.5</v>
      </c>
      <c r="AA52" s="12">
        <f t="shared" si="24"/>
        <v>0.5</v>
      </c>
      <c r="AB52" s="23">
        <f t="shared" si="24"/>
        <v>0.75</v>
      </c>
      <c r="AC52" s="23">
        <f t="shared" si="24"/>
        <v>0.35</v>
      </c>
      <c r="AD52" s="24">
        <f t="shared" si="24"/>
        <v>0.65</v>
      </c>
    </row>
    <row r="53" spans="2:71" x14ac:dyDescent="0.55000000000000004">
      <c r="B53" s="21" t="s">
        <v>15</v>
      </c>
      <c r="C53" s="12">
        <f t="shared" ref="C53:AD53" si="25">IF(C10="VG",0.3,IF(C10="G",0.35,IF(C10="MG",0.5,IF(C10="F",0.65,IF(C10="MP",0.75,IF(C10="P",0.85,IF(C10="VP",0.9,"ERROR")))))))</f>
        <v>0.35</v>
      </c>
      <c r="D53" s="23">
        <f t="shared" si="25"/>
        <v>0.5</v>
      </c>
      <c r="E53" s="23">
        <f t="shared" si="25"/>
        <v>0.35</v>
      </c>
      <c r="F53" s="13">
        <f t="shared" si="25"/>
        <v>0.3</v>
      </c>
      <c r="G53" s="12">
        <f t="shared" si="25"/>
        <v>0.5</v>
      </c>
      <c r="H53" s="23">
        <f t="shared" si="25"/>
        <v>0.35</v>
      </c>
      <c r="I53" s="23">
        <f t="shared" si="25"/>
        <v>0.5</v>
      </c>
      <c r="J53" s="13">
        <f t="shared" si="25"/>
        <v>0.65</v>
      </c>
      <c r="K53" s="12">
        <f t="shared" si="25"/>
        <v>0.5</v>
      </c>
      <c r="L53" s="23">
        <f t="shared" si="25"/>
        <v>0.35</v>
      </c>
      <c r="M53" s="23">
        <f t="shared" si="25"/>
        <v>0.5</v>
      </c>
      <c r="N53" s="13">
        <f t="shared" si="25"/>
        <v>0.65</v>
      </c>
      <c r="O53" s="12">
        <f t="shared" si="25"/>
        <v>0.35</v>
      </c>
      <c r="P53" s="23">
        <f t="shared" si="25"/>
        <v>0.35</v>
      </c>
      <c r="Q53" s="23">
        <f t="shared" si="25"/>
        <v>0.35</v>
      </c>
      <c r="R53" s="13">
        <f t="shared" si="25"/>
        <v>0.35</v>
      </c>
      <c r="S53" s="12">
        <f t="shared" si="25"/>
        <v>0.5</v>
      </c>
      <c r="T53" s="23">
        <f t="shared" si="25"/>
        <v>0.3</v>
      </c>
      <c r="U53" s="23">
        <f t="shared" si="25"/>
        <v>0.35</v>
      </c>
      <c r="V53" s="13">
        <f t="shared" si="25"/>
        <v>0.75</v>
      </c>
      <c r="W53" s="12">
        <f t="shared" si="25"/>
        <v>0.35</v>
      </c>
      <c r="X53" s="23">
        <f t="shared" si="25"/>
        <v>0.5</v>
      </c>
      <c r="Y53" s="23">
        <f t="shared" si="25"/>
        <v>0.75</v>
      </c>
      <c r="Z53" s="13">
        <f t="shared" si="25"/>
        <v>0.35</v>
      </c>
      <c r="AA53" s="12">
        <f t="shared" si="25"/>
        <v>0.35</v>
      </c>
      <c r="AB53" s="23">
        <f t="shared" si="25"/>
        <v>0.3</v>
      </c>
      <c r="AC53" s="23">
        <f t="shared" si="25"/>
        <v>0.65</v>
      </c>
      <c r="AD53" s="24">
        <f t="shared" si="25"/>
        <v>0.35</v>
      </c>
    </row>
    <row r="54" spans="2:71" x14ac:dyDescent="0.55000000000000004">
      <c r="B54" s="21" t="s">
        <v>16</v>
      </c>
      <c r="C54" s="12">
        <f t="shared" ref="C54:AD54" si="26">IF(C11="VG",0.3,IF(C11="G",0.35,IF(C11="MG",0.5,IF(C11="F",0.65,IF(C11="MP",0.75,IF(C11="P",0.85,IF(C11="VP",0.9,"ERROR")))))))</f>
        <v>0.5</v>
      </c>
      <c r="D54" s="23">
        <f t="shared" si="26"/>
        <v>0.35</v>
      </c>
      <c r="E54" s="23">
        <f t="shared" si="26"/>
        <v>0.35</v>
      </c>
      <c r="F54" s="13">
        <f t="shared" si="26"/>
        <v>0.3</v>
      </c>
      <c r="G54" s="12">
        <f t="shared" si="26"/>
        <v>0.75</v>
      </c>
      <c r="H54" s="23">
        <f t="shared" si="26"/>
        <v>0.75</v>
      </c>
      <c r="I54" s="23">
        <f t="shared" si="26"/>
        <v>0.65</v>
      </c>
      <c r="J54" s="13">
        <f t="shared" si="26"/>
        <v>0.35</v>
      </c>
      <c r="K54" s="12">
        <f t="shared" si="26"/>
        <v>0.5</v>
      </c>
      <c r="L54" s="23">
        <f t="shared" si="26"/>
        <v>0.35</v>
      </c>
      <c r="M54" s="23">
        <f t="shared" si="26"/>
        <v>0.5</v>
      </c>
      <c r="N54" s="13">
        <f t="shared" si="26"/>
        <v>0.35</v>
      </c>
      <c r="O54" s="12">
        <f t="shared" si="26"/>
        <v>0.35</v>
      </c>
      <c r="P54" s="23">
        <f t="shared" si="26"/>
        <v>0.35</v>
      </c>
      <c r="Q54" s="23">
        <f t="shared" si="26"/>
        <v>0.35</v>
      </c>
      <c r="R54" s="13">
        <f t="shared" si="26"/>
        <v>0.3</v>
      </c>
      <c r="S54" s="12">
        <f t="shared" si="26"/>
        <v>0.3</v>
      </c>
      <c r="T54" s="23">
        <f t="shared" si="26"/>
        <v>0.5</v>
      </c>
      <c r="U54" s="23">
        <f t="shared" si="26"/>
        <v>0.35</v>
      </c>
      <c r="V54" s="13">
        <f t="shared" si="26"/>
        <v>0.3</v>
      </c>
      <c r="W54" s="12">
        <f t="shared" si="26"/>
        <v>0.3</v>
      </c>
      <c r="X54" s="23">
        <f t="shared" si="26"/>
        <v>0.3</v>
      </c>
      <c r="Y54" s="23">
        <f t="shared" si="26"/>
        <v>0.5</v>
      </c>
      <c r="Z54" s="13">
        <f t="shared" si="26"/>
        <v>0.3</v>
      </c>
      <c r="AA54" s="12">
        <f t="shared" si="26"/>
        <v>0.5</v>
      </c>
      <c r="AB54" s="23">
        <f t="shared" si="26"/>
        <v>0.35</v>
      </c>
      <c r="AC54" s="23">
        <f t="shared" si="26"/>
        <v>0.65</v>
      </c>
      <c r="AD54" s="24">
        <f t="shared" si="26"/>
        <v>0.3</v>
      </c>
    </row>
    <row r="55" spans="2:71" x14ac:dyDescent="0.55000000000000004">
      <c r="B55" s="21" t="s">
        <v>17</v>
      </c>
      <c r="C55" s="12">
        <f t="shared" ref="C55:AD55" si="27">IF(C12="VG",0.3,IF(C12="G",0.35,IF(C12="MG",0.5,IF(C12="F",0.65,IF(C12="MP",0.75,IF(C12="P",0.85,IF(C12="VP",0.9,"ERROR")))))))</f>
        <v>0.5</v>
      </c>
      <c r="D55" s="23">
        <f t="shared" si="27"/>
        <v>0.35</v>
      </c>
      <c r="E55" s="23">
        <f t="shared" si="27"/>
        <v>0.35</v>
      </c>
      <c r="F55" s="13">
        <f t="shared" si="27"/>
        <v>0.3</v>
      </c>
      <c r="G55" s="12">
        <f t="shared" si="27"/>
        <v>0.65</v>
      </c>
      <c r="H55" s="23">
        <f t="shared" si="27"/>
        <v>0.65</v>
      </c>
      <c r="I55" s="23">
        <f t="shared" si="27"/>
        <v>0.65</v>
      </c>
      <c r="J55" s="13">
        <f t="shared" si="27"/>
        <v>0.35</v>
      </c>
      <c r="K55" s="12">
        <f t="shared" si="27"/>
        <v>0.5</v>
      </c>
      <c r="L55" s="23">
        <f t="shared" si="27"/>
        <v>0.5</v>
      </c>
      <c r="M55" s="23">
        <f t="shared" si="27"/>
        <v>0.35</v>
      </c>
      <c r="N55" s="13">
        <f t="shared" si="27"/>
        <v>0.35</v>
      </c>
      <c r="O55" s="12">
        <f t="shared" si="27"/>
        <v>0.5</v>
      </c>
      <c r="P55" s="23">
        <f t="shared" si="27"/>
        <v>0.5</v>
      </c>
      <c r="Q55" s="23">
        <f t="shared" si="27"/>
        <v>0.5</v>
      </c>
      <c r="R55" s="13">
        <f t="shared" si="27"/>
        <v>0.3</v>
      </c>
      <c r="S55" s="12">
        <f t="shared" si="27"/>
        <v>0.5</v>
      </c>
      <c r="T55" s="23">
        <f t="shared" si="27"/>
        <v>0.35</v>
      </c>
      <c r="U55" s="23">
        <f t="shared" si="27"/>
        <v>0.3</v>
      </c>
      <c r="V55" s="13">
        <f t="shared" si="27"/>
        <v>0.3</v>
      </c>
      <c r="W55" s="12">
        <f t="shared" si="27"/>
        <v>0.35</v>
      </c>
      <c r="X55" s="23">
        <f t="shared" si="27"/>
        <v>0.35</v>
      </c>
      <c r="Y55" s="23">
        <f t="shared" si="27"/>
        <v>0.65</v>
      </c>
      <c r="Z55" s="13">
        <f t="shared" si="27"/>
        <v>0.3</v>
      </c>
      <c r="AA55" s="12">
        <f t="shared" si="27"/>
        <v>0.65</v>
      </c>
      <c r="AB55" s="23">
        <f t="shared" si="27"/>
        <v>0.65</v>
      </c>
      <c r="AC55" s="23">
        <f t="shared" si="27"/>
        <v>0.5</v>
      </c>
      <c r="AD55" s="24">
        <f t="shared" si="27"/>
        <v>0.3</v>
      </c>
    </row>
    <row r="56" spans="2:71" x14ac:dyDescent="0.55000000000000004">
      <c r="B56" s="21" t="s">
        <v>18</v>
      </c>
      <c r="C56" s="12">
        <f t="shared" ref="C56:AD56" si="28">IF(C13="VG",0.3,IF(C13="G",0.35,IF(C13="MG",0.5,IF(C13="F",0.65,IF(C13="MP",0.75,IF(C13="P",0.85,IF(C13="VP",0.9,"ERROR")))))))</f>
        <v>0.35</v>
      </c>
      <c r="D56" s="23">
        <f t="shared" si="28"/>
        <v>0.35</v>
      </c>
      <c r="E56" s="23">
        <f t="shared" si="28"/>
        <v>0.5</v>
      </c>
      <c r="F56" s="13">
        <f t="shared" si="28"/>
        <v>0.3</v>
      </c>
      <c r="G56" s="12">
        <f t="shared" si="28"/>
        <v>0.5</v>
      </c>
      <c r="H56" s="23">
        <f t="shared" si="28"/>
        <v>0.35</v>
      </c>
      <c r="I56" s="23">
        <f t="shared" si="28"/>
        <v>0.35</v>
      </c>
      <c r="J56" s="13">
        <f t="shared" si="28"/>
        <v>0.75</v>
      </c>
      <c r="K56" s="12">
        <f t="shared" si="28"/>
        <v>0.5</v>
      </c>
      <c r="L56" s="23">
        <f t="shared" si="28"/>
        <v>0.35</v>
      </c>
      <c r="M56" s="23">
        <f t="shared" si="28"/>
        <v>0.65</v>
      </c>
      <c r="N56" s="13">
        <f t="shared" si="28"/>
        <v>0.5</v>
      </c>
      <c r="O56" s="12">
        <f t="shared" si="28"/>
        <v>0.5</v>
      </c>
      <c r="P56" s="23">
        <f t="shared" si="28"/>
        <v>0.5</v>
      </c>
      <c r="Q56" s="23">
        <f t="shared" si="28"/>
        <v>0.35</v>
      </c>
      <c r="R56" s="13">
        <f t="shared" si="28"/>
        <v>0.3</v>
      </c>
      <c r="S56" s="12">
        <f t="shared" si="28"/>
        <v>0.35</v>
      </c>
      <c r="T56" s="23">
        <f t="shared" si="28"/>
        <v>0.3</v>
      </c>
      <c r="U56" s="23">
        <f t="shared" si="28"/>
        <v>0.5</v>
      </c>
      <c r="V56" s="13">
        <f t="shared" si="28"/>
        <v>0.5</v>
      </c>
      <c r="W56" s="12">
        <f t="shared" si="28"/>
        <v>0.35</v>
      </c>
      <c r="X56" s="23">
        <f t="shared" si="28"/>
        <v>0.5</v>
      </c>
      <c r="Y56" s="23">
        <f t="shared" si="28"/>
        <v>0.35</v>
      </c>
      <c r="Z56" s="13">
        <f t="shared" si="28"/>
        <v>0.3</v>
      </c>
      <c r="AA56" s="12">
        <f t="shared" si="28"/>
        <v>0.35</v>
      </c>
      <c r="AB56" s="23">
        <f t="shared" si="28"/>
        <v>0.3</v>
      </c>
      <c r="AC56" s="23">
        <f t="shared" si="28"/>
        <v>0.75</v>
      </c>
      <c r="AD56" s="24">
        <f t="shared" si="28"/>
        <v>0.3</v>
      </c>
    </row>
    <row r="57" spans="2:71" x14ac:dyDescent="0.55000000000000004">
      <c r="B57" s="21" t="s">
        <v>19</v>
      </c>
      <c r="C57" s="12">
        <f t="shared" ref="C57:AD57" si="29">IF(C14="VG",0.3,IF(C14="G",0.35,IF(C14="MG",0.5,IF(C14="F",0.65,IF(C14="MP",0.75,IF(C14="P",0.85,IF(C14="VP",0.9,"ERROR")))))))</f>
        <v>0.5</v>
      </c>
      <c r="D57" s="23">
        <f t="shared" si="29"/>
        <v>0.35</v>
      </c>
      <c r="E57" s="23">
        <f t="shared" si="29"/>
        <v>0.5</v>
      </c>
      <c r="F57" s="13">
        <f t="shared" si="29"/>
        <v>0.35</v>
      </c>
      <c r="G57" s="12">
        <f t="shared" si="29"/>
        <v>0.65</v>
      </c>
      <c r="H57" s="23">
        <f t="shared" si="29"/>
        <v>0.3</v>
      </c>
      <c r="I57" s="23">
        <f t="shared" si="29"/>
        <v>0.35</v>
      </c>
      <c r="J57" s="13">
        <f t="shared" si="29"/>
        <v>0.65</v>
      </c>
      <c r="K57" s="12">
        <f t="shared" si="29"/>
        <v>0.5</v>
      </c>
      <c r="L57" s="23">
        <f t="shared" si="29"/>
        <v>0.35</v>
      </c>
      <c r="M57" s="23">
        <f t="shared" si="29"/>
        <v>0.65</v>
      </c>
      <c r="N57" s="13">
        <f t="shared" si="29"/>
        <v>0.5</v>
      </c>
      <c r="O57" s="12">
        <f t="shared" si="29"/>
        <v>0.65</v>
      </c>
      <c r="P57" s="23">
        <f t="shared" si="29"/>
        <v>0.35</v>
      </c>
      <c r="Q57" s="23">
        <f t="shared" si="29"/>
        <v>0.3</v>
      </c>
      <c r="R57" s="13">
        <f t="shared" si="29"/>
        <v>0.3</v>
      </c>
      <c r="S57" s="12">
        <f t="shared" si="29"/>
        <v>0.65</v>
      </c>
      <c r="T57" s="23">
        <f t="shared" si="29"/>
        <v>0.3</v>
      </c>
      <c r="U57" s="23">
        <f t="shared" si="29"/>
        <v>0.9</v>
      </c>
      <c r="V57" s="13">
        <f t="shared" si="29"/>
        <v>0.35</v>
      </c>
      <c r="W57" s="12">
        <f t="shared" si="29"/>
        <v>0.5</v>
      </c>
      <c r="X57" s="23">
        <f t="shared" si="29"/>
        <v>0.3</v>
      </c>
      <c r="Y57" s="23">
        <f t="shared" si="29"/>
        <v>0.3</v>
      </c>
      <c r="Z57" s="13">
        <f t="shared" si="29"/>
        <v>0.35</v>
      </c>
      <c r="AA57" s="12">
        <f t="shared" si="29"/>
        <v>0.35</v>
      </c>
      <c r="AB57" s="23">
        <f t="shared" si="29"/>
        <v>0.3</v>
      </c>
      <c r="AC57" s="23">
        <f t="shared" si="29"/>
        <v>0.5</v>
      </c>
      <c r="AD57" s="24">
        <f t="shared" si="29"/>
        <v>0.3</v>
      </c>
    </row>
    <row r="58" spans="2:71" x14ac:dyDescent="0.55000000000000004">
      <c r="B58" s="21" t="s">
        <v>20</v>
      </c>
      <c r="C58" s="12">
        <f t="shared" ref="C58:AD58" si="30">IF(C15="VG",0.3,IF(C15="G",0.35,IF(C15="MG",0.5,IF(C15="F",0.65,IF(C15="MP",0.75,IF(C15="P",0.85,IF(C15="VP",0.9,"ERROR")))))))</f>
        <v>0.35</v>
      </c>
      <c r="D58" s="23">
        <f t="shared" si="30"/>
        <v>0.35</v>
      </c>
      <c r="E58" s="23">
        <f t="shared" si="30"/>
        <v>0.35</v>
      </c>
      <c r="F58" s="13">
        <f t="shared" si="30"/>
        <v>0.35</v>
      </c>
      <c r="G58" s="12">
        <f t="shared" si="30"/>
        <v>0.5</v>
      </c>
      <c r="H58" s="23">
        <f t="shared" si="30"/>
        <v>0.65</v>
      </c>
      <c r="I58" s="23">
        <f t="shared" si="30"/>
        <v>0.3</v>
      </c>
      <c r="J58" s="13">
        <f t="shared" si="30"/>
        <v>0.5</v>
      </c>
      <c r="K58" s="12">
        <f t="shared" si="30"/>
        <v>0.65</v>
      </c>
      <c r="L58" s="23">
        <f t="shared" si="30"/>
        <v>0.65</v>
      </c>
      <c r="M58" s="23">
        <f t="shared" si="30"/>
        <v>0.35</v>
      </c>
      <c r="N58" s="13">
        <f t="shared" si="30"/>
        <v>0.5</v>
      </c>
      <c r="O58" s="12">
        <f t="shared" si="30"/>
        <v>0.35</v>
      </c>
      <c r="P58" s="23">
        <f t="shared" si="30"/>
        <v>0.35</v>
      </c>
      <c r="Q58" s="23">
        <f t="shared" si="30"/>
        <v>0.35</v>
      </c>
      <c r="R58" s="13">
        <f t="shared" si="30"/>
        <v>0.35</v>
      </c>
      <c r="S58" s="12">
        <f t="shared" si="30"/>
        <v>0.65</v>
      </c>
      <c r="T58" s="23">
        <f t="shared" si="30"/>
        <v>0.65</v>
      </c>
      <c r="U58" s="23">
        <f t="shared" si="30"/>
        <v>0.35</v>
      </c>
      <c r="V58" s="13">
        <f t="shared" si="30"/>
        <v>0.5</v>
      </c>
      <c r="W58" s="12">
        <f t="shared" si="30"/>
        <v>0.5</v>
      </c>
      <c r="X58" s="23">
        <f t="shared" si="30"/>
        <v>0.65</v>
      </c>
      <c r="Y58" s="23">
        <f t="shared" si="30"/>
        <v>0.35</v>
      </c>
      <c r="Z58" s="13">
        <f t="shared" si="30"/>
        <v>0.65</v>
      </c>
      <c r="AA58" s="12">
        <f t="shared" si="30"/>
        <v>0.5</v>
      </c>
      <c r="AB58" s="23">
        <f t="shared" si="30"/>
        <v>0.75</v>
      </c>
      <c r="AC58" s="23">
        <f t="shared" si="30"/>
        <v>0.3</v>
      </c>
      <c r="AD58" s="24">
        <f t="shared" si="30"/>
        <v>0.65</v>
      </c>
    </row>
    <row r="59" spans="2:71" x14ac:dyDescent="0.55000000000000004">
      <c r="B59" s="21" t="s">
        <v>21</v>
      </c>
      <c r="C59" s="12">
        <f t="shared" ref="C59:AD59" si="31">IF(C16="VG",0.3,IF(C16="G",0.35,IF(C16="MG",0.5,IF(C16="F",0.65,IF(C16="MP",0.75,IF(C16="P",0.85,IF(C16="VP",0.9,"ERROR")))))))</f>
        <v>0.5</v>
      </c>
      <c r="D59" s="23">
        <f t="shared" si="31"/>
        <v>0.3</v>
      </c>
      <c r="E59" s="23">
        <f t="shared" si="31"/>
        <v>0.5</v>
      </c>
      <c r="F59" s="13">
        <f t="shared" si="31"/>
        <v>0.3</v>
      </c>
      <c r="G59" s="12">
        <f t="shared" si="31"/>
        <v>0.65</v>
      </c>
      <c r="H59" s="23">
        <f t="shared" si="31"/>
        <v>0.75</v>
      </c>
      <c r="I59" s="23">
        <f t="shared" si="31"/>
        <v>0.65</v>
      </c>
      <c r="J59" s="13">
        <f t="shared" si="31"/>
        <v>0.35</v>
      </c>
      <c r="K59" s="12">
        <f t="shared" si="31"/>
        <v>0.5</v>
      </c>
      <c r="L59" s="23">
        <f t="shared" si="31"/>
        <v>0.35</v>
      </c>
      <c r="M59" s="23">
        <f t="shared" si="31"/>
        <v>0.5</v>
      </c>
      <c r="N59" s="13">
        <f t="shared" si="31"/>
        <v>0.65</v>
      </c>
      <c r="O59" s="12">
        <f t="shared" si="31"/>
        <v>0.35</v>
      </c>
      <c r="P59" s="23">
        <f t="shared" si="31"/>
        <v>0.35</v>
      </c>
      <c r="Q59" s="23">
        <f t="shared" si="31"/>
        <v>0.35</v>
      </c>
      <c r="R59" s="13">
        <f t="shared" si="31"/>
        <v>0.35</v>
      </c>
      <c r="S59" s="12">
        <f t="shared" si="31"/>
        <v>0.35</v>
      </c>
      <c r="T59" s="23">
        <f t="shared" si="31"/>
        <v>0.35</v>
      </c>
      <c r="U59" s="23">
        <f t="shared" si="31"/>
        <v>0.3</v>
      </c>
      <c r="V59" s="13">
        <f t="shared" si="31"/>
        <v>0.5</v>
      </c>
      <c r="W59" s="12">
        <f t="shared" si="31"/>
        <v>0.3</v>
      </c>
      <c r="X59" s="23">
        <f t="shared" si="31"/>
        <v>0.35</v>
      </c>
      <c r="Y59" s="23">
        <f t="shared" si="31"/>
        <v>0.3</v>
      </c>
      <c r="Z59" s="13">
        <f t="shared" si="31"/>
        <v>0.65</v>
      </c>
      <c r="AA59" s="12">
        <f t="shared" si="31"/>
        <v>0.35</v>
      </c>
      <c r="AB59" s="23">
        <f t="shared" si="31"/>
        <v>0.75</v>
      </c>
      <c r="AC59" s="23">
        <f t="shared" si="31"/>
        <v>0.5</v>
      </c>
      <c r="AD59" s="24">
        <f t="shared" si="31"/>
        <v>0.35</v>
      </c>
    </row>
    <row r="60" spans="2:71" x14ac:dyDescent="0.55000000000000004">
      <c r="B60" s="21" t="s">
        <v>22</v>
      </c>
      <c r="C60" s="12">
        <f t="shared" ref="C60:AD60" si="32">IF(C17="VG",0.3,IF(C17="G",0.35,IF(C17="MG",0.5,IF(C17="F",0.65,IF(C17="MP",0.75,IF(C17="P",0.85,IF(C17="VP",0.9,"ERROR")))))))</f>
        <v>0.5</v>
      </c>
      <c r="D60" s="23">
        <f t="shared" si="32"/>
        <v>0.35</v>
      </c>
      <c r="E60" s="23">
        <f t="shared" si="32"/>
        <v>0.5</v>
      </c>
      <c r="F60" s="13">
        <f t="shared" si="32"/>
        <v>0.5</v>
      </c>
      <c r="G60" s="12">
        <f t="shared" si="32"/>
        <v>0.65</v>
      </c>
      <c r="H60" s="23">
        <f t="shared" si="32"/>
        <v>0.85</v>
      </c>
      <c r="I60" s="23">
        <f t="shared" si="32"/>
        <v>0.35</v>
      </c>
      <c r="J60" s="13">
        <f t="shared" si="32"/>
        <v>0.5</v>
      </c>
      <c r="K60" s="12">
        <f t="shared" si="32"/>
        <v>0.5</v>
      </c>
      <c r="L60" s="23">
        <f t="shared" si="32"/>
        <v>0.35</v>
      </c>
      <c r="M60" s="23">
        <f t="shared" si="32"/>
        <v>0.5</v>
      </c>
      <c r="N60" s="13">
        <f t="shared" si="32"/>
        <v>0.65</v>
      </c>
      <c r="O60" s="12">
        <f t="shared" si="32"/>
        <v>0.65</v>
      </c>
      <c r="P60" s="23">
        <f t="shared" si="32"/>
        <v>0.3</v>
      </c>
      <c r="Q60" s="23">
        <f t="shared" si="32"/>
        <v>0.3</v>
      </c>
      <c r="R60" s="13">
        <f t="shared" si="32"/>
        <v>0.3</v>
      </c>
      <c r="S60" s="12">
        <f t="shared" si="32"/>
        <v>0.65</v>
      </c>
      <c r="T60" s="23">
        <f t="shared" si="32"/>
        <v>0.5</v>
      </c>
      <c r="U60" s="23">
        <f t="shared" si="32"/>
        <v>0.35</v>
      </c>
      <c r="V60" s="13">
        <f t="shared" si="32"/>
        <v>0.75</v>
      </c>
      <c r="W60" s="12">
        <f t="shared" si="32"/>
        <v>0.3</v>
      </c>
      <c r="X60" s="23">
        <f t="shared" si="32"/>
        <v>0.35</v>
      </c>
      <c r="Y60" s="23">
        <f t="shared" si="32"/>
        <v>0.75</v>
      </c>
      <c r="Z60" s="13">
        <f t="shared" si="32"/>
        <v>0.75</v>
      </c>
      <c r="AA60" s="12">
        <f t="shared" si="32"/>
        <v>0.35</v>
      </c>
      <c r="AB60" s="23">
        <f t="shared" si="32"/>
        <v>0.3</v>
      </c>
      <c r="AC60" s="23">
        <f t="shared" si="32"/>
        <v>0.75</v>
      </c>
      <c r="AD60" s="24">
        <f t="shared" si="32"/>
        <v>0.35</v>
      </c>
    </row>
    <row r="61" spans="2:71" x14ac:dyDescent="0.55000000000000004">
      <c r="B61" s="21" t="s">
        <v>23</v>
      </c>
      <c r="C61" s="12">
        <f t="shared" ref="C61:AD61" si="33">IF(C18="VG",0.3,IF(C18="G",0.35,IF(C18="MG",0.5,IF(C18="F",0.65,IF(C18="MP",0.75,IF(C18="P",0.85,IF(C18="VP",0.9,"ERROR")))))))</f>
        <v>0.65</v>
      </c>
      <c r="D61" s="23">
        <f t="shared" si="33"/>
        <v>0.5</v>
      </c>
      <c r="E61" s="23">
        <f t="shared" si="33"/>
        <v>0.5</v>
      </c>
      <c r="F61" s="13">
        <f t="shared" si="33"/>
        <v>0.5</v>
      </c>
      <c r="G61" s="12">
        <f t="shared" si="33"/>
        <v>0.5</v>
      </c>
      <c r="H61" s="23">
        <f t="shared" si="33"/>
        <v>0.35</v>
      </c>
      <c r="I61" s="23">
        <f t="shared" si="33"/>
        <v>0.75</v>
      </c>
      <c r="J61" s="13">
        <f t="shared" si="33"/>
        <v>0.35</v>
      </c>
      <c r="K61" s="12">
        <f t="shared" si="33"/>
        <v>0.35</v>
      </c>
      <c r="L61" s="23">
        <f t="shared" si="33"/>
        <v>0.3</v>
      </c>
      <c r="M61" s="23">
        <f t="shared" si="33"/>
        <v>0.5</v>
      </c>
      <c r="N61" s="13">
        <f t="shared" si="33"/>
        <v>0.35</v>
      </c>
      <c r="O61" s="12">
        <f t="shared" si="33"/>
        <v>0.65</v>
      </c>
      <c r="P61" s="23">
        <f t="shared" si="33"/>
        <v>0.35</v>
      </c>
      <c r="Q61" s="23">
        <f t="shared" si="33"/>
        <v>0.35</v>
      </c>
      <c r="R61" s="13">
        <f t="shared" si="33"/>
        <v>0.3</v>
      </c>
      <c r="S61" s="12">
        <f t="shared" si="33"/>
        <v>0.3</v>
      </c>
      <c r="T61" s="23">
        <f t="shared" si="33"/>
        <v>0.3</v>
      </c>
      <c r="U61" s="23">
        <f t="shared" si="33"/>
        <v>0.3</v>
      </c>
      <c r="V61" s="13">
        <f t="shared" si="33"/>
        <v>0.3</v>
      </c>
      <c r="W61" s="12">
        <f t="shared" si="33"/>
        <v>0.3</v>
      </c>
      <c r="X61" s="23">
        <f t="shared" si="33"/>
        <v>0.3</v>
      </c>
      <c r="Y61" s="23">
        <f t="shared" si="33"/>
        <v>0.65</v>
      </c>
      <c r="Z61" s="13">
        <f t="shared" si="33"/>
        <v>0.35</v>
      </c>
      <c r="AA61" s="12">
        <f t="shared" si="33"/>
        <v>0.35</v>
      </c>
      <c r="AB61" s="23">
        <f t="shared" si="33"/>
        <v>0.3</v>
      </c>
      <c r="AC61" s="23">
        <f t="shared" si="33"/>
        <v>0.5</v>
      </c>
      <c r="AD61" s="24">
        <f t="shared" si="33"/>
        <v>0.3</v>
      </c>
    </row>
    <row r="62" spans="2:71" x14ac:dyDescent="0.55000000000000004">
      <c r="B62" s="21" t="s">
        <v>24</v>
      </c>
      <c r="C62" s="12">
        <f t="shared" ref="C62:AD62" si="34">IF(C19="VG",0.3,IF(C19="G",0.35,IF(C19="MG",0.5,IF(C19="F",0.65,IF(C19="MP",0.75,IF(C19="P",0.85,IF(C19="VP",0.9,"ERROR")))))))</f>
        <v>0.65</v>
      </c>
      <c r="D62" s="23">
        <f t="shared" si="34"/>
        <v>0.35</v>
      </c>
      <c r="E62" s="23">
        <f t="shared" si="34"/>
        <v>0.35</v>
      </c>
      <c r="F62" s="13">
        <f t="shared" si="34"/>
        <v>0.65</v>
      </c>
      <c r="G62" s="12">
        <f t="shared" si="34"/>
        <v>0.5</v>
      </c>
      <c r="H62" s="23">
        <f t="shared" si="34"/>
        <v>0.75</v>
      </c>
      <c r="I62" s="23">
        <f t="shared" si="34"/>
        <v>0.3</v>
      </c>
      <c r="J62" s="13">
        <f t="shared" si="34"/>
        <v>0.5</v>
      </c>
      <c r="K62" s="12">
        <f t="shared" si="34"/>
        <v>0.5</v>
      </c>
      <c r="L62" s="23">
        <f t="shared" si="34"/>
        <v>0.65</v>
      </c>
      <c r="M62" s="23">
        <f t="shared" si="34"/>
        <v>0.3</v>
      </c>
      <c r="N62" s="13">
        <f t="shared" si="34"/>
        <v>0.35</v>
      </c>
      <c r="O62" s="12">
        <f t="shared" si="34"/>
        <v>0.35</v>
      </c>
      <c r="P62" s="23">
        <f t="shared" si="34"/>
        <v>0.5</v>
      </c>
      <c r="Q62" s="23">
        <f t="shared" si="34"/>
        <v>0.5</v>
      </c>
      <c r="R62" s="13">
        <f t="shared" si="34"/>
        <v>0.85</v>
      </c>
      <c r="S62" s="12">
        <f t="shared" si="34"/>
        <v>0.65</v>
      </c>
      <c r="T62" s="23">
        <f t="shared" si="34"/>
        <v>0.65</v>
      </c>
      <c r="U62" s="23">
        <f t="shared" si="34"/>
        <v>0.35</v>
      </c>
      <c r="V62" s="13">
        <f t="shared" si="34"/>
        <v>0.5</v>
      </c>
      <c r="W62" s="12">
        <f t="shared" si="34"/>
        <v>0.5</v>
      </c>
      <c r="X62" s="23">
        <f t="shared" si="34"/>
        <v>0.5</v>
      </c>
      <c r="Y62" s="23">
        <f t="shared" si="34"/>
        <v>0.35</v>
      </c>
      <c r="Z62" s="13">
        <f t="shared" si="34"/>
        <v>0.65</v>
      </c>
      <c r="AA62" s="12">
        <f t="shared" si="34"/>
        <v>0.5</v>
      </c>
      <c r="AB62" s="23">
        <f t="shared" si="34"/>
        <v>0.75</v>
      </c>
      <c r="AC62" s="23">
        <f t="shared" si="34"/>
        <v>0.3</v>
      </c>
      <c r="AD62" s="24">
        <f t="shared" si="34"/>
        <v>0.65</v>
      </c>
    </row>
    <row r="63" spans="2:71" x14ac:dyDescent="0.55000000000000004">
      <c r="B63" s="21" t="s">
        <v>25</v>
      </c>
      <c r="C63" s="12">
        <f t="shared" ref="C63:AD63" si="35">IF(C20="VG",0.3,IF(C20="G",0.35,IF(C20="MG",0.5,IF(C20="F",0.65,IF(C20="MP",0.75,IF(C20="P",0.85,IF(C20="VP",0.9,"ERROR")))))))</f>
        <v>0.35</v>
      </c>
      <c r="D63" s="23">
        <f t="shared" si="35"/>
        <v>0.65</v>
      </c>
      <c r="E63" s="23">
        <f t="shared" si="35"/>
        <v>0.35</v>
      </c>
      <c r="F63" s="13">
        <f t="shared" si="35"/>
        <v>0.5</v>
      </c>
      <c r="G63" s="12">
        <f t="shared" si="35"/>
        <v>0.75</v>
      </c>
      <c r="H63" s="23">
        <f t="shared" si="35"/>
        <v>0.75</v>
      </c>
      <c r="I63" s="23">
        <f t="shared" si="35"/>
        <v>0.35</v>
      </c>
      <c r="J63" s="13">
        <f t="shared" si="35"/>
        <v>0.65</v>
      </c>
      <c r="K63" s="12">
        <f t="shared" si="35"/>
        <v>0.5</v>
      </c>
      <c r="L63" s="23">
        <f t="shared" si="35"/>
        <v>0.35</v>
      </c>
      <c r="M63" s="23">
        <f t="shared" si="35"/>
        <v>0.5</v>
      </c>
      <c r="N63" s="13">
        <f t="shared" si="35"/>
        <v>0.65</v>
      </c>
      <c r="O63" s="12">
        <f t="shared" si="35"/>
        <v>0.35</v>
      </c>
      <c r="P63" s="23">
        <f t="shared" si="35"/>
        <v>0.35</v>
      </c>
      <c r="Q63" s="23">
        <f t="shared" si="35"/>
        <v>0.35</v>
      </c>
      <c r="R63" s="13">
        <f t="shared" si="35"/>
        <v>0.35</v>
      </c>
      <c r="S63" s="12">
        <f t="shared" si="35"/>
        <v>0.35</v>
      </c>
      <c r="T63" s="23">
        <f t="shared" si="35"/>
        <v>0.3</v>
      </c>
      <c r="U63" s="23">
        <f t="shared" si="35"/>
        <v>0.35</v>
      </c>
      <c r="V63" s="13">
        <f t="shared" si="35"/>
        <v>0.75</v>
      </c>
      <c r="W63" s="12">
        <f t="shared" si="35"/>
        <v>0.35</v>
      </c>
      <c r="X63" s="23">
        <f t="shared" si="35"/>
        <v>0.75</v>
      </c>
      <c r="Y63" s="23">
        <f t="shared" si="35"/>
        <v>0.75</v>
      </c>
      <c r="Z63" s="13">
        <f t="shared" si="35"/>
        <v>0.5</v>
      </c>
      <c r="AA63" s="12">
        <f t="shared" si="35"/>
        <v>0.5</v>
      </c>
      <c r="AB63" s="23">
        <f t="shared" si="35"/>
        <v>0.75</v>
      </c>
      <c r="AC63" s="23">
        <f t="shared" si="35"/>
        <v>0.3</v>
      </c>
      <c r="AD63" s="24">
        <f t="shared" si="35"/>
        <v>0.65</v>
      </c>
    </row>
    <row r="64" spans="2:71" x14ac:dyDescent="0.55000000000000004">
      <c r="B64" s="21" t="s">
        <v>26</v>
      </c>
      <c r="C64" s="12">
        <f t="shared" ref="C64:AD64" si="36">IF(C21="VG",0.3,IF(C21="G",0.35,IF(C21="MG",0.5,IF(C21="F",0.65,IF(C21="MP",0.75,IF(C21="P",0.85,IF(C21="VP",0.9,"ERROR")))))))</f>
        <v>0.5</v>
      </c>
      <c r="D64" s="23">
        <f t="shared" si="36"/>
        <v>0.35</v>
      </c>
      <c r="E64" s="23">
        <f t="shared" si="36"/>
        <v>0.35</v>
      </c>
      <c r="F64" s="13">
        <f t="shared" si="36"/>
        <v>0.5</v>
      </c>
      <c r="G64" s="12">
        <f t="shared" si="36"/>
        <v>0.5</v>
      </c>
      <c r="H64" s="23">
        <f t="shared" si="36"/>
        <v>0.35</v>
      </c>
      <c r="I64" s="23">
        <f t="shared" si="36"/>
        <v>0.75</v>
      </c>
      <c r="J64" s="13">
        <f t="shared" si="36"/>
        <v>0.5</v>
      </c>
      <c r="K64" s="12">
        <f t="shared" si="36"/>
        <v>0.5</v>
      </c>
      <c r="L64" s="23">
        <f t="shared" si="36"/>
        <v>0.3</v>
      </c>
      <c r="M64" s="23">
        <f t="shared" si="36"/>
        <v>0.65</v>
      </c>
      <c r="N64" s="13">
        <f t="shared" si="36"/>
        <v>0.5</v>
      </c>
      <c r="O64" s="12">
        <f t="shared" si="36"/>
        <v>0.35</v>
      </c>
      <c r="P64" s="23">
        <f t="shared" si="36"/>
        <v>0.35</v>
      </c>
      <c r="Q64" s="23">
        <f t="shared" si="36"/>
        <v>0.3</v>
      </c>
      <c r="R64" s="13">
        <f t="shared" si="36"/>
        <v>0.35</v>
      </c>
      <c r="S64" s="12">
        <f t="shared" si="36"/>
        <v>0.3</v>
      </c>
      <c r="T64" s="23">
        <f t="shared" si="36"/>
        <v>0.3</v>
      </c>
      <c r="U64" s="23">
        <f t="shared" si="36"/>
        <v>0.35</v>
      </c>
      <c r="V64" s="13">
        <f t="shared" si="36"/>
        <v>0.35</v>
      </c>
      <c r="W64" s="12">
        <f t="shared" si="36"/>
        <v>0.3</v>
      </c>
      <c r="X64" s="23">
        <f t="shared" si="36"/>
        <v>0.35</v>
      </c>
      <c r="Y64" s="23">
        <f t="shared" si="36"/>
        <v>0.35</v>
      </c>
      <c r="Z64" s="13">
        <f t="shared" si="36"/>
        <v>0.65</v>
      </c>
      <c r="AA64" s="12">
        <f t="shared" si="36"/>
        <v>0.35</v>
      </c>
      <c r="AB64" s="23">
        <f t="shared" si="36"/>
        <v>0.3</v>
      </c>
      <c r="AC64" s="23">
        <f t="shared" si="36"/>
        <v>0.75</v>
      </c>
      <c r="AD64" s="24">
        <f t="shared" si="36"/>
        <v>0.5</v>
      </c>
    </row>
    <row r="65" spans="2:30" ht="14.7" thickBot="1" x14ac:dyDescent="0.6">
      <c r="B65" s="25" t="s">
        <v>27</v>
      </c>
      <c r="C65" s="26">
        <f t="shared" ref="C65:AD65" si="37">IF(C22="VG",0.3,IF(C22="G",0.35,IF(C22="MG",0.5,IF(C22="F",0.65,IF(C22="MP",0.75,IF(C22="P",0.85,IF(C22="VP",0.9,"ERROR")))))))</f>
        <v>0.5</v>
      </c>
      <c r="D65" s="27">
        <f t="shared" si="37"/>
        <v>0.5</v>
      </c>
      <c r="E65" s="27">
        <f t="shared" si="37"/>
        <v>0.35</v>
      </c>
      <c r="F65" s="28">
        <f t="shared" si="37"/>
        <v>0.5</v>
      </c>
      <c r="G65" s="26">
        <f t="shared" si="37"/>
        <v>0.65</v>
      </c>
      <c r="H65" s="27">
        <f t="shared" si="37"/>
        <v>0.75</v>
      </c>
      <c r="I65" s="27">
        <f t="shared" si="37"/>
        <v>0.35</v>
      </c>
      <c r="J65" s="28">
        <f t="shared" si="37"/>
        <v>0.35</v>
      </c>
      <c r="K65" s="26">
        <f t="shared" si="37"/>
        <v>0.65</v>
      </c>
      <c r="L65" s="27">
        <f t="shared" si="37"/>
        <v>0.5</v>
      </c>
      <c r="M65" s="27">
        <f t="shared" si="37"/>
        <v>0.35</v>
      </c>
      <c r="N65" s="28">
        <f t="shared" si="37"/>
        <v>0.5</v>
      </c>
      <c r="O65" s="26">
        <f t="shared" si="37"/>
        <v>0.35</v>
      </c>
      <c r="P65" s="27">
        <f t="shared" si="37"/>
        <v>0.35</v>
      </c>
      <c r="Q65" s="27">
        <f t="shared" si="37"/>
        <v>0.3</v>
      </c>
      <c r="R65" s="28">
        <f t="shared" si="37"/>
        <v>0.3</v>
      </c>
      <c r="S65" s="26">
        <f t="shared" si="37"/>
        <v>0.75</v>
      </c>
      <c r="T65" s="27">
        <f t="shared" si="37"/>
        <v>0.35</v>
      </c>
      <c r="U65" s="27">
        <f t="shared" si="37"/>
        <v>0.5</v>
      </c>
      <c r="V65" s="28">
        <f t="shared" si="37"/>
        <v>0.35</v>
      </c>
      <c r="W65" s="26">
        <f t="shared" si="37"/>
        <v>0.35</v>
      </c>
      <c r="X65" s="27">
        <f t="shared" si="37"/>
        <v>0.65</v>
      </c>
      <c r="Y65" s="27">
        <f t="shared" si="37"/>
        <v>0.35</v>
      </c>
      <c r="Z65" s="28">
        <f t="shared" si="37"/>
        <v>0.5</v>
      </c>
      <c r="AA65" s="26">
        <f t="shared" si="37"/>
        <v>0.35</v>
      </c>
      <c r="AB65" s="27">
        <f t="shared" si="37"/>
        <v>0.75</v>
      </c>
      <c r="AC65" s="27">
        <f t="shared" si="37"/>
        <v>0.65</v>
      </c>
      <c r="AD65" s="29">
        <f t="shared" si="37"/>
        <v>0.3</v>
      </c>
    </row>
  </sheetData>
  <mergeCells count="13">
    <mergeCell ref="BA18:BS18"/>
    <mergeCell ref="BA25:BS25"/>
    <mergeCell ref="BA30:BS30"/>
    <mergeCell ref="BA37:BS37"/>
    <mergeCell ref="B2:AD2"/>
    <mergeCell ref="B24:AD24"/>
    <mergeCell ref="B46:AD46"/>
    <mergeCell ref="AF2:AJ2"/>
    <mergeCell ref="AF3:AJ3"/>
    <mergeCell ref="AF24:AJ24"/>
    <mergeCell ref="AL2:AR2"/>
    <mergeCell ref="AT2:AY2"/>
    <mergeCell ref="BA2:BS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ADCE-D658-46F6-8F54-DDC75A0687AC}">
  <dimension ref="A3:BI49"/>
  <sheetViews>
    <sheetView tabSelected="1" zoomScale="70" zoomScaleNormal="70" workbookViewId="0">
      <selection activeCell="AJ41" sqref="AJ41"/>
    </sheetView>
  </sheetViews>
  <sheetFormatPr defaultRowHeight="14.4" x14ac:dyDescent="0.55000000000000004"/>
  <cols>
    <col min="1" max="1" width="19" customWidth="1"/>
    <col min="2" max="2" width="7.5234375" style="1" customWidth="1"/>
    <col min="3" max="60" width="4.89453125" style="1" customWidth="1"/>
    <col min="61" max="61" width="9.1015625" style="7"/>
  </cols>
  <sheetData>
    <row r="3" spans="2:60" ht="20.7" thickBot="1" x14ac:dyDescent="0.6">
      <c r="B3" s="57" t="s">
        <v>66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V3" s="57" t="s">
        <v>67</v>
      </c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P3" s="59" t="s">
        <v>77</v>
      </c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</row>
    <row r="4" spans="2:60" x14ac:dyDescent="0.55000000000000004">
      <c r="B4" s="34"/>
      <c r="C4" s="63" t="s">
        <v>10</v>
      </c>
      <c r="D4" s="63" t="s">
        <v>11</v>
      </c>
      <c r="E4" s="63" t="s">
        <v>12</v>
      </c>
      <c r="F4" s="63" t="s">
        <v>13</v>
      </c>
      <c r="G4" s="63" t="s">
        <v>14</v>
      </c>
      <c r="H4" s="63" t="s">
        <v>15</v>
      </c>
      <c r="I4" s="63" t="s">
        <v>16</v>
      </c>
      <c r="J4" s="63" t="s">
        <v>17</v>
      </c>
      <c r="K4" s="63" t="s">
        <v>18</v>
      </c>
      <c r="L4" s="63" t="s">
        <v>19</v>
      </c>
      <c r="M4" s="63" t="s">
        <v>20</v>
      </c>
      <c r="N4" s="63" t="s">
        <v>21</v>
      </c>
      <c r="O4" s="63" t="s">
        <v>22</v>
      </c>
      <c r="P4" s="63" t="s">
        <v>23</v>
      </c>
      <c r="Q4" s="63" t="s">
        <v>24</v>
      </c>
      <c r="R4" s="63" t="s">
        <v>25</v>
      </c>
      <c r="S4" s="63" t="s">
        <v>26</v>
      </c>
      <c r="T4" s="64" t="s">
        <v>27</v>
      </c>
      <c r="V4" s="34"/>
      <c r="W4" s="63" t="s">
        <v>10</v>
      </c>
      <c r="X4" s="63" t="s">
        <v>11</v>
      </c>
      <c r="Y4" s="63" t="s">
        <v>12</v>
      </c>
      <c r="Z4" s="63" t="s">
        <v>13</v>
      </c>
      <c r="AA4" s="63" t="s">
        <v>14</v>
      </c>
      <c r="AB4" s="63" t="s">
        <v>15</v>
      </c>
      <c r="AC4" s="63" t="s">
        <v>16</v>
      </c>
      <c r="AD4" s="63" t="s">
        <v>17</v>
      </c>
      <c r="AE4" s="63" t="s">
        <v>18</v>
      </c>
      <c r="AF4" s="63" t="s">
        <v>19</v>
      </c>
      <c r="AG4" s="63" t="s">
        <v>20</v>
      </c>
      <c r="AH4" s="63" t="s">
        <v>21</v>
      </c>
      <c r="AI4" s="63" t="s">
        <v>22</v>
      </c>
      <c r="AJ4" s="63" t="s">
        <v>23</v>
      </c>
      <c r="AK4" s="63" t="s">
        <v>24</v>
      </c>
      <c r="AL4" s="63" t="s">
        <v>25</v>
      </c>
      <c r="AM4" s="63" t="s">
        <v>26</v>
      </c>
      <c r="AN4" s="64" t="s">
        <v>27</v>
      </c>
      <c r="AP4" s="75"/>
      <c r="AQ4" s="63" t="s">
        <v>10</v>
      </c>
      <c r="AR4" s="63" t="s">
        <v>11</v>
      </c>
      <c r="AS4" s="63" t="s">
        <v>12</v>
      </c>
      <c r="AT4" s="63" t="s">
        <v>13</v>
      </c>
      <c r="AU4" s="63" t="s">
        <v>14</v>
      </c>
      <c r="AV4" s="63" t="s">
        <v>15</v>
      </c>
      <c r="AW4" s="63" t="s">
        <v>16</v>
      </c>
      <c r="AX4" s="63" t="s">
        <v>17</v>
      </c>
      <c r="AY4" s="63" t="s">
        <v>18</v>
      </c>
      <c r="AZ4" s="63" t="s">
        <v>19</v>
      </c>
      <c r="BA4" s="63" t="s">
        <v>20</v>
      </c>
      <c r="BB4" s="63" t="s">
        <v>21</v>
      </c>
      <c r="BC4" s="63" t="s">
        <v>22</v>
      </c>
      <c r="BD4" s="63" t="s">
        <v>23</v>
      </c>
      <c r="BE4" s="63" t="s">
        <v>24</v>
      </c>
      <c r="BF4" s="63" t="s">
        <v>25</v>
      </c>
      <c r="BG4" s="63" t="s">
        <v>26</v>
      </c>
      <c r="BH4" s="64" t="s">
        <v>27</v>
      </c>
    </row>
    <row r="5" spans="2:60" x14ac:dyDescent="0.55000000000000004">
      <c r="B5" s="65" t="s">
        <v>6</v>
      </c>
      <c r="C5" s="66" cm="1">
        <f t="array" ref="C5:T8">TRANSPOSE('PF ITARA'!AG5:AJ22)</f>
        <v>0.47569670116503393</v>
      </c>
      <c r="D5" s="66">
        <v>0.42941372872893546</v>
      </c>
      <c r="E5" s="66">
        <v>0.5729760487111254</v>
      </c>
      <c r="F5" s="66">
        <v>0.64756805231000225</v>
      </c>
      <c r="G5" s="66">
        <v>0.53981816021414919</v>
      </c>
      <c r="H5" s="66">
        <v>0.66172259252496723</v>
      </c>
      <c r="I5" s="66">
        <v>0.67089813488719741</v>
      </c>
      <c r="J5" s="66">
        <v>0.58329172715292577</v>
      </c>
      <c r="K5" s="66">
        <v>0.66172259252496723</v>
      </c>
      <c r="L5" s="66">
        <v>0.56494510481438842</v>
      </c>
      <c r="M5" s="66">
        <v>0.60107130404286402</v>
      </c>
      <c r="N5" s="66">
        <v>0.66939174715204419</v>
      </c>
      <c r="O5" s="66">
        <v>0.61064405316008596</v>
      </c>
      <c r="P5" s="66">
        <v>0.67683708489159289</v>
      </c>
      <c r="Q5" s="66">
        <v>0.58329172715292577</v>
      </c>
      <c r="R5" s="66">
        <v>0.64183512034955581</v>
      </c>
      <c r="S5" s="66">
        <v>0.70080221884432226</v>
      </c>
      <c r="T5" s="67">
        <v>0.59426891748441601</v>
      </c>
      <c r="V5" s="65" t="s">
        <v>6</v>
      </c>
      <c r="W5" s="71" cm="1">
        <f t="array" ref="W5:AN8">TRANSPOSE('PF ITARA'!AG27:AJ44)</f>
        <v>0.64457448743537538</v>
      </c>
      <c r="X5" s="71">
        <v>0.6886130238551772</v>
      </c>
      <c r="Y5" s="71">
        <v>0.52915376821102555</v>
      </c>
      <c r="Z5" s="71">
        <v>0.42912463798381389</v>
      </c>
      <c r="AA5" s="71">
        <v>0.5577731516217771</v>
      </c>
      <c r="AB5" s="71">
        <v>0.4078069271953591</v>
      </c>
      <c r="AC5" s="71">
        <v>0.43512264925420252</v>
      </c>
      <c r="AD5" s="71">
        <v>0.51214907943123389</v>
      </c>
      <c r="AE5" s="71">
        <v>0.4078069271953591</v>
      </c>
      <c r="AF5" s="71">
        <v>0.53170900820204714</v>
      </c>
      <c r="AG5" s="71">
        <v>0.48670694679773036</v>
      </c>
      <c r="AH5" s="71">
        <v>0.41416023013606273</v>
      </c>
      <c r="AI5" s="71">
        <v>0.49428944839380923</v>
      </c>
      <c r="AJ5" s="71">
        <v>0.42061251241126146</v>
      </c>
      <c r="AK5" s="71">
        <v>0.51214907943123389</v>
      </c>
      <c r="AL5" s="71">
        <v>0.43212609473550645</v>
      </c>
      <c r="AM5" s="71">
        <v>0.39023565231982893</v>
      </c>
      <c r="AN5" s="72">
        <v>0.4901111555572768</v>
      </c>
      <c r="AP5" s="65" t="s">
        <v>6</v>
      </c>
      <c r="AQ5" s="66">
        <f>SQRT(1-C5^2-W5^2)</f>
        <v>0.59852851114055339</v>
      </c>
      <c r="AR5" s="66">
        <f t="shared" ref="AR5:BH8" si="0">SQRT(1-D5^2-X5^2)</f>
        <v>0.58430809763012992</v>
      </c>
      <c r="AS5" s="66">
        <f t="shared" si="0"/>
        <v>0.62585520465316757</v>
      </c>
      <c r="AT5" s="66">
        <f t="shared" si="0"/>
        <v>0.62968854420474485</v>
      </c>
      <c r="AU5" s="66">
        <f t="shared" si="0"/>
        <v>0.63046448372047192</v>
      </c>
      <c r="AV5" s="66">
        <f t="shared" si="0"/>
        <v>0.62913966706409097</v>
      </c>
      <c r="AW5" s="66">
        <f t="shared" si="0"/>
        <v>0.60046979333758677</v>
      </c>
      <c r="AX5" s="66">
        <f t="shared" si="0"/>
        <v>0.63045545558167426</v>
      </c>
      <c r="AY5" s="66">
        <f t="shared" si="0"/>
        <v>0.62913966706409097</v>
      </c>
      <c r="AZ5" s="66">
        <f t="shared" si="0"/>
        <v>0.63096953899776731</v>
      </c>
      <c r="BA5" s="66">
        <f t="shared" si="0"/>
        <v>0.63390033553788416</v>
      </c>
      <c r="BB5" s="66">
        <f t="shared" si="0"/>
        <v>0.61675440218808109</v>
      </c>
      <c r="BC5" s="66">
        <f t="shared" si="0"/>
        <v>0.61870169027307975</v>
      </c>
      <c r="BD5" s="66">
        <f t="shared" si="0"/>
        <v>0.604132994396546</v>
      </c>
      <c r="BE5" s="66">
        <f t="shared" si="0"/>
        <v>0.63045545558167426</v>
      </c>
      <c r="BF5" s="66">
        <f t="shared" si="0"/>
        <v>0.63349405406405457</v>
      </c>
      <c r="BG5" s="66">
        <f t="shared" si="0"/>
        <v>0.59715356962961574</v>
      </c>
      <c r="BH5" s="67">
        <f t="shared" si="0"/>
        <v>0.63767978555871685</v>
      </c>
    </row>
    <row r="6" spans="2:60" x14ac:dyDescent="0.55000000000000004">
      <c r="B6" s="65" t="s">
        <v>7</v>
      </c>
      <c r="C6" s="66">
        <v>0.57546269311313236</v>
      </c>
      <c r="D6" s="66">
        <v>0.57546269311313236</v>
      </c>
      <c r="E6" s="66">
        <v>0.61012687612226779</v>
      </c>
      <c r="F6" s="66">
        <v>0.68242245914074351</v>
      </c>
      <c r="G6" s="66">
        <v>0.56741575873427497</v>
      </c>
      <c r="H6" s="66">
        <v>0.7122957403409963</v>
      </c>
      <c r="I6" s="66">
        <v>0.67701826324092673</v>
      </c>
      <c r="J6" s="66">
        <v>0.61779617063883396</v>
      </c>
      <c r="K6" s="66">
        <v>0.7122957403409963</v>
      </c>
      <c r="L6" s="66">
        <v>0.76291748902114376</v>
      </c>
      <c r="M6" s="66">
        <v>0.53710324189218528</v>
      </c>
      <c r="N6" s="66">
        <v>0.65831119814897876</v>
      </c>
      <c r="O6" s="66">
        <v>0.69423414699082742</v>
      </c>
      <c r="P6" s="66">
        <v>0.75383263867399941</v>
      </c>
      <c r="Q6" s="66">
        <v>0.52722881509757069</v>
      </c>
      <c r="R6" s="66">
        <v>0.58933628338567423</v>
      </c>
      <c r="S6" s="66">
        <v>0.74881256752394776</v>
      </c>
      <c r="T6" s="67">
        <v>0.56801635654551208</v>
      </c>
      <c r="V6" s="65" t="s">
        <v>7</v>
      </c>
      <c r="W6" s="71">
        <v>0.5227266820936618</v>
      </c>
      <c r="X6" s="71">
        <v>0.52272668209366169</v>
      </c>
      <c r="Y6" s="71">
        <v>0.5009940514855532</v>
      </c>
      <c r="Z6" s="71">
        <v>0.39358590924038511</v>
      </c>
      <c r="AA6" s="71">
        <v>0.5335227478610286</v>
      </c>
      <c r="AB6" s="71">
        <v>0.37084983747921868</v>
      </c>
      <c r="AC6" s="71">
        <v>0.40171478329029764</v>
      </c>
      <c r="AD6" s="71">
        <v>0.46252870809460261</v>
      </c>
      <c r="AE6" s="71">
        <v>0.37084983747921868</v>
      </c>
      <c r="AF6" s="71">
        <v>0.32048871070309037</v>
      </c>
      <c r="AG6" s="71">
        <v>0.55587697139353509</v>
      </c>
      <c r="AH6" s="71">
        <v>0.42567065178271973</v>
      </c>
      <c r="AI6" s="71">
        <v>0.40005469121934023</v>
      </c>
      <c r="AJ6" s="71">
        <v>0.33724194658537432</v>
      </c>
      <c r="AK6" s="71">
        <v>0.57505341214305161</v>
      </c>
      <c r="AL6" s="71">
        <v>0.5185193013303987</v>
      </c>
      <c r="AM6" s="71">
        <v>0.32762464477968734</v>
      </c>
      <c r="AN6" s="72">
        <v>0.52638282623078547</v>
      </c>
      <c r="AP6" s="65" t="s">
        <v>7</v>
      </c>
      <c r="AQ6" s="66">
        <f t="shared" ref="AQ6:AQ8" si="1">SQRT(1-C6^2-W6^2)</f>
        <v>0.62896701396999555</v>
      </c>
      <c r="AR6" s="66">
        <f t="shared" si="0"/>
        <v>0.62896701396999566</v>
      </c>
      <c r="AS6" s="66">
        <f t="shared" si="0"/>
        <v>0.61379976817311832</v>
      </c>
      <c r="AT6" s="66">
        <f t="shared" si="0"/>
        <v>0.61594619838726139</v>
      </c>
      <c r="AU6" s="66">
        <f t="shared" si="0"/>
        <v>0.62721035885484577</v>
      </c>
      <c r="AV6" s="66">
        <f t="shared" si="0"/>
        <v>0.59590701987282302</v>
      </c>
      <c r="AW6" s="66">
        <f t="shared" si="0"/>
        <v>0.61666157989959813</v>
      </c>
      <c r="AX6" s="66">
        <f t="shared" si="0"/>
        <v>0.63592065993512947</v>
      </c>
      <c r="AY6" s="66">
        <f t="shared" si="0"/>
        <v>0.59590701987282302</v>
      </c>
      <c r="AZ6" s="66">
        <f t="shared" si="0"/>
        <v>0.56146584157679957</v>
      </c>
      <c r="BA6" s="66">
        <f t="shared" si="0"/>
        <v>0.63444534849209488</v>
      </c>
      <c r="BB6" s="66">
        <f t="shared" si="0"/>
        <v>0.62083078419367266</v>
      </c>
      <c r="BC6" s="66">
        <f t="shared" si="0"/>
        <v>0.5983269952002136</v>
      </c>
      <c r="BD6" s="66">
        <f t="shared" si="0"/>
        <v>0.56391863095051487</v>
      </c>
      <c r="BE6" s="66">
        <f t="shared" si="0"/>
        <v>0.62557441580793993</v>
      </c>
      <c r="BF6" s="66">
        <f t="shared" si="0"/>
        <v>0.61953246826376696</v>
      </c>
      <c r="BG6" s="66">
        <f t="shared" si="0"/>
        <v>0.57614393240854045</v>
      </c>
      <c r="BH6" s="67">
        <f t="shared" si="0"/>
        <v>0.63267569808398083</v>
      </c>
    </row>
    <row r="7" spans="2:60" x14ac:dyDescent="0.55000000000000004">
      <c r="B7" s="65" t="s">
        <v>8</v>
      </c>
      <c r="C7" s="66">
        <v>0.67493136618584193</v>
      </c>
      <c r="D7" s="66">
        <v>0.59002938099545055</v>
      </c>
      <c r="E7" s="66">
        <v>0.50103391104919026</v>
      </c>
      <c r="F7" s="66">
        <v>0.64801880892912245</v>
      </c>
      <c r="G7" s="66">
        <v>0.66999251812449656</v>
      </c>
      <c r="H7" s="66">
        <v>0.61087644014669029</v>
      </c>
      <c r="I7" s="66">
        <v>0.61779617063883396</v>
      </c>
      <c r="J7" s="66">
        <v>0.64162763278374946</v>
      </c>
      <c r="K7" s="66">
        <v>0.61087644014669029</v>
      </c>
      <c r="L7" s="66">
        <v>0.6520852521555488</v>
      </c>
      <c r="M7" s="66">
        <v>0.73369585269098714</v>
      </c>
      <c r="N7" s="66">
        <v>0.67643394606299301</v>
      </c>
      <c r="O7" s="66">
        <v>0.62880522598842481</v>
      </c>
      <c r="P7" s="66">
        <v>0.61962412420675039</v>
      </c>
      <c r="Q7" s="66">
        <v>0.73907904157199578</v>
      </c>
      <c r="R7" s="66">
        <v>0.67701826324092673</v>
      </c>
      <c r="S7" s="66">
        <v>0.62928856072200101</v>
      </c>
      <c r="T7" s="67">
        <v>0.6824224591407434</v>
      </c>
      <c r="V7" s="65" t="s">
        <v>8</v>
      </c>
      <c r="W7" s="71">
        <v>0.40896222464637355</v>
      </c>
      <c r="X7" s="71">
        <v>0.54090360357836786</v>
      </c>
      <c r="Y7" s="71">
        <v>0.60778669229614213</v>
      </c>
      <c r="Z7" s="71">
        <v>0.42338183451930456</v>
      </c>
      <c r="AA7" s="71">
        <v>0.39025887648562357</v>
      </c>
      <c r="AB7" s="71">
        <v>0.47208148303978859</v>
      </c>
      <c r="AC7" s="71">
        <v>0.46252870809460256</v>
      </c>
      <c r="AD7" s="71">
        <v>0.45245445262546313</v>
      </c>
      <c r="AE7" s="71">
        <v>0.47208148303978875</v>
      </c>
      <c r="AF7" s="71">
        <v>0.46366137454244272</v>
      </c>
      <c r="AG7" s="71">
        <v>0.33491946606024803</v>
      </c>
      <c r="AH7" s="71">
        <v>0.42631775244885989</v>
      </c>
      <c r="AI7" s="71">
        <v>0.47133686760654747</v>
      </c>
      <c r="AJ7" s="71">
        <v>0.48593926257991749</v>
      </c>
      <c r="AK7" s="71">
        <v>0.34475090468070624</v>
      </c>
      <c r="AL7" s="71">
        <v>0.40171478329029764</v>
      </c>
      <c r="AM7" s="71">
        <v>0.46502915474960377</v>
      </c>
      <c r="AN7" s="72">
        <v>0.39358590924038506</v>
      </c>
      <c r="AP7" s="65" t="s">
        <v>8</v>
      </c>
      <c r="AQ7" s="66">
        <f t="shared" si="1"/>
        <v>0.61418038860810431</v>
      </c>
      <c r="AR7" s="66">
        <f t="shared" si="0"/>
        <v>0.59940689118332746</v>
      </c>
      <c r="AS7" s="66">
        <f t="shared" si="0"/>
        <v>0.61608469924716258</v>
      </c>
      <c r="AT7" s="66">
        <f t="shared" si="0"/>
        <v>0.63310302911386362</v>
      </c>
      <c r="AU7" s="66">
        <f t="shared" si="0"/>
        <v>0.63151249788216779</v>
      </c>
      <c r="AV7" s="66">
        <f t="shared" si="0"/>
        <v>0.63558559474288034</v>
      </c>
      <c r="AW7" s="66">
        <f t="shared" si="0"/>
        <v>0.63592065993512947</v>
      </c>
      <c r="AX7" s="66">
        <f t="shared" si="0"/>
        <v>0.6193536543427467</v>
      </c>
      <c r="AY7" s="66">
        <f t="shared" si="0"/>
        <v>0.63558559474288023</v>
      </c>
      <c r="AZ7" s="66">
        <f t="shared" si="0"/>
        <v>0.59983577225657936</v>
      </c>
      <c r="BA7" s="66">
        <f t="shared" si="0"/>
        <v>0.5912016128174582</v>
      </c>
      <c r="BB7" s="66">
        <f t="shared" si="0"/>
        <v>0.60057496664496479</v>
      </c>
      <c r="BC7" s="66">
        <f t="shared" si="0"/>
        <v>0.61842181802107699</v>
      </c>
      <c r="BD7" s="66">
        <f t="shared" si="0"/>
        <v>0.6163837909811577</v>
      </c>
      <c r="BE7" s="66">
        <f t="shared" si="0"/>
        <v>0.57871321397636566</v>
      </c>
      <c r="BF7" s="66">
        <f t="shared" si="0"/>
        <v>0.61666157989959813</v>
      </c>
      <c r="BG7" s="66">
        <f t="shared" si="0"/>
        <v>0.62269076801997114</v>
      </c>
      <c r="BH7" s="67">
        <f t="shared" si="0"/>
        <v>0.61594619838726161</v>
      </c>
    </row>
    <row r="8" spans="2:60" ht="14.7" thickBot="1" x14ac:dyDescent="0.6">
      <c r="B8" s="68" t="s">
        <v>9</v>
      </c>
      <c r="C8" s="69">
        <v>0.53604023001519074</v>
      </c>
      <c r="D8" s="69">
        <v>0.37642404601252843</v>
      </c>
      <c r="E8" s="69">
        <v>0.58295460505886709</v>
      </c>
      <c r="F8" s="69">
        <v>0.62012390986536492</v>
      </c>
      <c r="G8" s="69">
        <v>0.57604687279774269</v>
      </c>
      <c r="H8" s="69">
        <v>0.63576447162413541</v>
      </c>
      <c r="I8" s="69">
        <v>0.77609980608022178</v>
      </c>
      <c r="J8" s="69">
        <v>0.77609980608022178</v>
      </c>
      <c r="K8" s="69">
        <v>0.71977857764016739</v>
      </c>
      <c r="L8" s="69">
        <v>0.70116727832647674</v>
      </c>
      <c r="M8" s="69">
        <v>0.60107130404286402</v>
      </c>
      <c r="N8" s="69">
        <v>0.65609667978662067</v>
      </c>
      <c r="O8" s="69">
        <v>0.59625649806513403</v>
      </c>
      <c r="P8" s="69">
        <v>0.73907904157199578</v>
      </c>
      <c r="Q8" s="69">
        <v>0.53296678541845932</v>
      </c>
      <c r="R8" s="69">
        <v>0.53643598005173587</v>
      </c>
      <c r="S8" s="69">
        <v>0.61729215054677034</v>
      </c>
      <c r="T8" s="70">
        <v>0.70080221884432237</v>
      </c>
      <c r="V8" s="68" t="s">
        <v>9</v>
      </c>
      <c r="W8" s="73">
        <v>0.59921190524965673</v>
      </c>
      <c r="X8" s="73">
        <v>0.73294282699195434</v>
      </c>
      <c r="Y8" s="73">
        <v>0.54468688384072461</v>
      </c>
      <c r="Z8" s="73">
        <v>0.47943613170913701</v>
      </c>
      <c r="AA8" s="73">
        <v>0.51573123989527614</v>
      </c>
      <c r="AB8" s="73">
        <v>0.45561908674679114</v>
      </c>
      <c r="AC8" s="73">
        <v>0.31350820313654665</v>
      </c>
      <c r="AD8" s="73">
        <v>0.31350820313654665</v>
      </c>
      <c r="AE8" s="73">
        <v>0.39569009989412574</v>
      </c>
      <c r="AF8" s="73">
        <v>0.38501328460249951</v>
      </c>
      <c r="AG8" s="73">
        <v>0.4867069467977303</v>
      </c>
      <c r="AH8" s="73">
        <v>0.42997778195156422</v>
      </c>
      <c r="AI8" s="73">
        <v>0.51491777557941709</v>
      </c>
      <c r="AJ8" s="73">
        <v>0.34475090468070629</v>
      </c>
      <c r="AK8" s="73">
        <v>0.57358170773563133</v>
      </c>
      <c r="AL8" s="73">
        <v>0.5634169552494418</v>
      </c>
      <c r="AM8" s="73">
        <v>0.46880250458446976</v>
      </c>
      <c r="AN8" s="74">
        <v>0.39023565231982887</v>
      </c>
      <c r="AP8" s="68" t="s">
        <v>9</v>
      </c>
      <c r="AQ8" s="69">
        <f t="shared" si="1"/>
        <v>0.59464776499398175</v>
      </c>
      <c r="AR8" s="69">
        <f t="shared" si="0"/>
        <v>0.56665664201930954</v>
      </c>
      <c r="AS8" s="69">
        <f t="shared" si="0"/>
        <v>0.60289313067287575</v>
      </c>
      <c r="AT8" s="69">
        <f t="shared" si="0"/>
        <v>0.62095678756663231</v>
      </c>
      <c r="AU8" s="69">
        <f t="shared" si="0"/>
        <v>0.63418553163567393</v>
      </c>
      <c r="AV8" s="69">
        <f t="shared" si="0"/>
        <v>0.62306884403932761</v>
      </c>
      <c r="AW8" s="69">
        <f t="shared" si="0"/>
        <v>0.54715783606591617</v>
      </c>
      <c r="AX8" s="69">
        <f t="shared" si="0"/>
        <v>0.54715783606591617</v>
      </c>
      <c r="AY8" s="69">
        <f t="shared" si="0"/>
        <v>0.57039297332284378</v>
      </c>
      <c r="AZ8" s="69">
        <f t="shared" si="0"/>
        <v>0.60010767240874019</v>
      </c>
      <c r="BA8" s="69">
        <f t="shared" si="0"/>
        <v>0.63390033553788427</v>
      </c>
      <c r="BB8" s="69">
        <f t="shared" si="0"/>
        <v>0.62020662186160636</v>
      </c>
      <c r="BC8" s="69">
        <f t="shared" si="0"/>
        <v>0.61590411015631952</v>
      </c>
      <c r="BD8" s="69">
        <f t="shared" si="0"/>
        <v>0.57871321397636555</v>
      </c>
      <c r="BE8" s="69">
        <f t="shared" si="0"/>
        <v>0.62205339818362115</v>
      </c>
      <c r="BF8" s="69">
        <f t="shared" si="0"/>
        <v>0.62832935141005641</v>
      </c>
      <c r="BG8" s="69">
        <f t="shared" si="0"/>
        <v>0.63180266901040516</v>
      </c>
      <c r="BH8" s="70">
        <f t="shared" si="0"/>
        <v>0.59715356962961563</v>
      </c>
    </row>
    <row r="9" spans="2:60" x14ac:dyDescent="0.55000000000000004">
      <c r="B9" s="7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V9" s="76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P9" s="7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</row>
    <row r="11" spans="2:60" ht="16.8" customHeight="1" x14ac:dyDescent="0.55000000000000004">
      <c r="B11" s="77" t="s">
        <v>79</v>
      </c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</row>
    <row r="12" spans="2:60" ht="20.7" thickBot="1" x14ac:dyDescent="0.6">
      <c r="B12" s="57" t="s">
        <v>66</v>
      </c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V12" s="57" t="s">
        <v>67</v>
      </c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2:60" ht="14.7" thickBot="1" x14ac:dyDescent="0.6">
      <c r="B13" s="78"/>
      <c r="C13" s="79">
        <f>(SQRT(1-(((1-C5^2)*(1-C6^2)*(1-C7^2)*(1-C8^2))^(1/4))))</f>
        <v>0.57497295087923539</v>
      </c>
      <c r="D13" s="79">
        <f t="shared" ref="D13:T13" si="2">(SQRT(1-(((1-D5^2)*(1-D6^2)*(1-D7^2)*(1-D8^2))^(1/4))))</f>
        <v>0.50667841237105427</v>
      </c>
      <c r="E13" s="79">
        <f t="shared" si="2"/>
        <v>0.56945452355157911</v>
      </c>
      <c r="F13" s="79">
        <f t="shared" si="2"/>
        <v>0.65046823476341242</v>
      </c>
      <c r="G13" s="79">
        <f t="shared" si="2"/>
        <v>0.59283053346294923</v>
      </c>
      <c r="H13" s="79">
        <f t="shared" si="2"/>
        <v>0.65795860234108339</v>
      </c>
      <c r="I13" s="79">
        <f t="shared" si="2"/>
        <v>0.69266400424254937</v>
      </c>
      <c r="J13" s="79">
        <f t="shared" si="2"/>
        <v>0.66646680876263442</v>
      </c>
      <c r="K13" s="79">
        <f t="shared" si="2"/>
        <v>0.67985360400792683</v>
      </c>
      <c r="L13" s="79">
        <f t="shared" si="2"/>
        <v>0.68045057508704743</v>
      </c>
      <c r="M13" s="79">
        <f t="shared" si="2"/>
        <v>0.62845467097443319</v>
      </c>
      <c r="N13" s="79">
        <f t="shared" si="2"/>
        <v>0.66519209250268363</v>
      </c>
      <c r="O13" s="79">
        <f t="shared" si="2"/>
        <v>0.63523102878910687</v>
      </c>
      <c r="P13" s="79">
        <f t="shared" si="2"/>
        <v>0.70306168051828155</v>
      </c>
      <c r="Q13" s="79">
        <f t="shared" si="2"/>
        <v>0.61056381072101218</v>
      </c>
      <c r="R13" s="79">
        <f t="shared" si="2"/>
        <v>0.61618425908691221</v>
      </c>
      <c r="S13" s="79">
        <f t="shared" si="2"/>
        <v>0.6799530842346474</v>
      </c>
      <c r="T13" s="79">
        <f t="shared" si="2"/>
        <v>0.64226602897653506</v>
      </c>
      <c r="U13" s="16"/>
      <c r="V13" s="16"/>
      <c r="W13" s="79">
        <f t="shared" ref="W13:AN13" si="3">((W5^2)*(W6^2)*(W7^2)*(W8^2))^(1/4)</f>
        <v>0.28734636288772492</v>
      </c>
      <c r="X13" s="79">
        <f t="shared" si="3"/>
        <v>0.37776345122014959</v>
      </c>
      <c r="Y13" s="79">
        <f t="shared" si="3"/>
        <v>0.2962485841511599</v>
      </c>
      <c r="Z13" s="79">
        <f t="shared" si="3"/>
        <v>0.18515821547660788</v>
      </c>
      <c r="AA13" s="79">
        <f t="shared" si="3"/>
        <v>0.24473348128132577</v>
      </c>
      <c r="AB13" s="79">
        <f t="shared" si="3"/>
        <v>0.18035815476493861</v>
      </c>
      <c r="AC13" s="79">
        <f t="shared" si="3"/>
        <v>0.15920567828724869</v>
      </c>
      <c r="AD13" s="79">
        <f t="shared" si="3"/>
        <v>0.18330716160453681</v>
      </c>
      <c r="AE13" s="79">
        <f t="shared" si="3"/>
        <v>0.16807859962639465</v>
      </c>
      <c r="AF13" s="79">
        <f t="shared" si="3"/>
        <v>0.17441414111244827</v>
      </c>
      <c r="AG13" s="79">
        <f t="shared" si="3"/>
        <v>0.21000376522900846</v>
      </c>
      <c r="AH13" s="79">
        <f t="shared" si="3"/>
        <v>0.17976732962874653</v>
      </c>
      <c r="AI13" s="79">
        <f t="shared" si="3"/>
        <v>0.21907105586942466</v>
      </c>
      <c r="AJ13" s="79">
        <f t="shared" si="3"/>
        <v>0.15415428104456153</v>
      </c>
      <c r="AK13" s="79">
        <f t="shared" si="3"/>
        <v>0.24132518298313926</v>
      </c>
      <c r="AL13" s="79">
        <f t="shared" si="3"/>
        <v>0.22519646725120601</v>
      </c>
      <c r="AM13" s="79">
        <f t="shared" si="3"/>
        <v>0.16695014715272211</v>
      </c>
      <c r="AN13" s="80">
        <f t="shared" si="3"/>
        <v>0.19905880510599683</v>
      </c>
    </row>
    <row r="15" spans="2:60" ht="14.7" thickBot="1" x14ac:dyDescent="0.6">
      <c r="B15" s="17" t="s">
        <v>55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V15" s="17" t="s">
        <v>55</v>
      </c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</row>
    <row r="16" spans="2:60" x14ac:dyDescent="0.55000000000000004">
      <c r="B16" s="84"/>
      <c r="C16" s="63" t="s">
        <v>10</v>
      </c>
      <c r="D16" s="63" t="s">
        <v>11</v>
      </c>
      <c r="E16" s="63" t="s">
        <v>12</v>
      </c>
      <c r="F16" s="63" t="s">
        <v>13</v>
      </c>
      <c r="G16" s="63" t="s">
        <v>14</v>
      </c>
      <c r="H16" s="63" t="s">
        <v>15</v>
      </c>
      <c r="I16" s="63" t="s">
        <v>16</v>
      </c>
      <c r="J16" s="63" t="s">
        <v>17</v>
      </c>
      <c r="K16" s="63" t="s">
        <v>18</v>
      </c>
      <c r="L16" s="63" t="s">
        <v>19</v>
      </c>
      <c r="M16" s="63" t="s">
        <v>20</v>
      </c>
      <c r="N16" s="63" t="s">
        <v>21</v>
      </c>
      <c r="O16" s="63" t="s">
        <v>22</v>
      </c>
      <c r="P16" s="63" t="s">
        <v>23</v>
      </c>
      <c r="Q16" s="63" t="s">
        <v>24</v>
      </c>
      <c r="R16" s="63" t="s">
        <v>25</v>
      </c>
      <c r="S16" s="63" t="s">
        <v>26</v>
      </c>
      <c r="T16" s="64" t="s">
        <v>27</v>
      </c>
      <c r="V16" s="84"/>
      <c r="W16" s="63" t="s">
        <v>10</v>
      </c>
      <c r="X16" s="63" t="s">
        <v>11</v>
      </c>
      <c r="Y16" s="63" t="s">
        <v>12</v>
      </c>
      <c r="Z16" s="63" t="s">
        <v>13</v>
      </c>
      <c r="AA16" s="63" t="s">
        <v>14</v>
      </c>
      <c r="AB16" s="63" t="s">
        <v>15</v>
      </c>
      <c r="AC16" s="63" t="s">
        <v>16</v>
      </c>
      <c r="AD16" s="63" t="s">
        <v>17</v>
      </c>
      <c r="AE16" s="63" t="s">
        <v>18</v>
      </c>
      <c r="AF16" s="63" t="s">
        <v>19</v>
      </c>
      <c r="AG16" s="63" t="s">
        <v>20</v>
      </c>
      <c r="AH16" s="63" t="s">
        <v>21</v>
      </c>
      <c r="AI16" s="63" t="s">
        <v>22</v>
      </c>
      <c r="AJ16" s="63" t="s">
        <v>23</v>
      </c>
      <c r="AK16" s="63" t="s">
        <v>24</v>
      </c>
      <c r="AL16" s="63" t="s">
        <v>25</v>
      </c>
      <c r="AM16" s="63" t="s">
        <v>26</v>
      </c>
      <c r="AN16" s="64" t="s">
        <v>27</v>
      </c>
    </row>
    <row r="17" spans="1:60" x14ac:dyDescent="0.55000000000000004">
      <c r="B17" s="65" t="s">
        <v>6</v>
      </c>
      <c r="C17" s="66">
        <f>(1+((C5^2)-(W5^2)))/2</f>
        <v>0.40540554082335933</v>
      </c>
      <c r="D17" s="66">
        <f>(1+((D5^2)-(X5^2)))/2</f>
        <v>0.35510412689895848</v>
      </c>
      <c r="E17" s="66">
        <f>(1+((E5^2)-(Y5^2)))/2</f>
        <v>0.52414892099234311</v>
      </c>
      <c r="F17" s="66">
        <f>(1+((F5^2)-(Z5^2)))/2</f>
        <v>0.61759821372391521</v>
      </c>
      <c r="G17" s="66">
        <f>(1+((G5^2)-(AA5^2)))/2</f>
        <v>0.49014637871344946</v>
      </c>
      <c r="H17" s="66">
        <f>(1+((H5^2)-(AB5^2)))/2</f>
        <v>0.63578514979472145</v>
      </c>
      <c r="I17" s="66">
        <f>(1+((I5^2)-(AC5^2)))/2</f>
        <v>0.63038629375056221</v>
      </c>
      <c r="J17" s="66">
        <f>(1+((J5^2)-(AD5^2)))/2</f>
        <v>0.53896627970139144</v>
      </c>
      <c r="K17" s="66">
        <f>(1+((K5^2)-(AE5^2)))/2</f>
        <v>0.63578514979472145</v>
      </c>
      <c r="L17" s="66">
        <f>(1+((L5^2)-(AF5^2)))/2</f>
        <v>0.51822425102526781</v>
      </c>
      <c r="M17" s="66">
        <f>(1+((M5^2)-(AG5^2)))/2</f>
        <v>0.56220153024131014</v>
      </c>
      <c r="N17" s="66">
        <f>(1+((N5^2)-(AH5^2)))/2</f>
        <v>0.63827830746445491</v>
      </c>
      <c r="O17" s="66">
        <f>(1+((O5^2)-(AI5^2)))/2</f>
        <v>0.56428205043316082</v>
      </c>
      <c r="P17" s="66">
        <f>(1+((P5^2)-(AJ5^2)))/2</f>
        <v>0.64059677694381789</v>
      </c>
      <c r="Q17" s="66">
        <f>(1+((Q5^2)-(AK5^2)))/2</f>
        <v>0.53896627970139144</v>
      </c>
      <c r="R17" s="66">
        <f>(1+((R5^2)-(AL5^2)))/2</f>
        <v>0.61260967998138449</v>
      </c>
      <c r="S17" s="66">
        <f>(1+((S5^2)-(AM5^2)))/2</f>
        <v>0.66941994279782147</v>
      </c>
      <c r="T17" s="67">
        <f>(1+((T5^2)-(AN5^2)))/2</f>
        <v>0.55647330074320522</v>
      </c>
      <c r="V17" s="65" t="s">
        <v>6</v>
      </c>
      <c r="W17" s="66">
        <f>C17</f>
        <v>0.40540554082335933</v>
      </c>
      <c r="X17" s="66">
        <f t="shared" ref="W17:AF21" si="4">D17</f>
        <v>0.35510412689895848</v>
      </c>
      <c r="Y17" s="66">
        <f t="shared" si="4"/>
        <v>0.52414892099234311</v>
      </c>
      <c r="Z17" s="66">
        <f t="shared" si="4"/>
        <v>0.61759821372391521</v>
      </c>
      <c r="AA17" s="66">
        <f t="shared" si="4"/>
        <v>0.49014637871344946</v>
      </c>
      <c r="AB17" s="66">
        <f t="shared" si="4"/>
        <v>0.63578514979472145</v>
      </c>
      <c r="AC17" s="66">
        <f t="shared" si="4"/>
        <v>0.63038629375056221</v>
      </c>
      <c r="AD17" s="66">
        <f t="shared" si="4"/>
        <v>0.53896627970139144</v>
      </c>
      <c r="AE17" s="66">
        <f t="shared" si="4"/>
        <v>0.63578514979472145</v>
      </c>
      <c r="AF17" s="66">
        <f t="shared" si="4"/>
        <v>0.51822425102526781</v>
      </c>
      <c r="AG17" s="66">
        <f t="shared" ref="AG17:AN21" si="5">M17</f>
        <v>0.56220153024131014</v>
      </c>
      <c r="AH17" s="66">
        <f t="shared" si="5"/>
        <v>0.63827830746445491</v>
      </c>
      <c r="AI17" s="66">
        <f t="shared" si="5"/>
        <v>0.56428205043316082</v>
      </c>
      <c r="AJ17" s="66">
        <f t="shared" si="5"/>
        <v>0.64059677694381789</v>
      </c>
      <c r="AK17" s="66">
        <f t="shared" si="5"/>
        <v>0.53896627970139144</v>
      </c>
      <c r="AL17" s="66">
        <f t="shared" si="5"/>
        <v>0.61260967998138449</v>
      </c>
      <c r="AM17" s="66">
        <f t="shared" si="5"/>
        <v>0.66941994279782147</v>
      </c>
      <c r="AN17" s="67">
        <f t="shared" si="5"/>
        <v>0.55647330074320522</v>
      </c>
    </row>
    <row r="18" spans="1:60" x14ac:dyDescent="0.55000000000000004">
      <c r="B18" s="65" t="s">
        <v>7</v>
      </c>
      <c r="C18" s="66">
        <f>(1+((C6^2)-(W6^2)))/2</f>
        <v>0.52895706349618554</v>
      </c>
      <c r="D18" s="66">
        <f>(1+((D6^2)-(X6^2)))/2</f>
        <v>0.52895706349618554</v>
      </c>
      <c r="E18" s="66">
        <f>(1+((E6^2)-(Y6^2)))/2</f>
        <v>0.56062988267140401</v>
      </c>
      <c r="F18" s="66">
        <f>(1+((F6^2)-(Z6^2)))/2</f>
        <v>0.65539527239355955</v>
      </c>
      <c r="G18" s="66">
        <f>(1+((G6^2)-(AA6^2)))/2</f>
        <v>0.51865706038740511</v>
      </c>
      <c r="H18" s="66">
        <f>(1+((H6^2)-(AB6^2)))/2</f>
        <v>0.68491780987478257</v>
      </c>
      <c r="I18" s="66">
        <f>(1+((I6^2)-(AC6^2)))/2</f>
        <v>0.64848948082389501</v>
      </c>
      <c r="J18" s="66">
        <f>(1+((J6^2)-(AD6^2)))/2</f>
        <v>0.58386965132217261</v>
      </c>
      <c r="K18" s="66">
        <f>(1+((K6^2)-(AE6^2)))/2</f>
        <v>0.68491780987478257</v>
      </c>
      <c r="L18" s="66">
        <f>(1+((L6^2)-(AF6^2)))/2</f>
        <v>0.73966504068309891</v>
      </c>
      <c r="M18" s="66">
        <f>(1+((M6^2)-(AG6^2)))/2</f>
        <v>0.48974034256272314</v>
      </c>
      <c r="N18" s="66">
        <f>(1+((N6^2)-(AH6^2)))/2</f>
        <v>0.62608906490960925</v>
      </c>
      <c r="O18" s="66">
        <f>(1+((O6^2)-(AI6^2)))/2</f>
        <v>0.66095864744074007</v>
      </c>
      <c r="P18" s="66">
        <f>(1+((P6^2)-(AJ6^2)))/2</f>
        <v>0.7272657582967561</v>
      </c>
      <c r="Q18" s="66">
        <f>(1+((Q6^2)-(AK6^2)))/2</f>
        <v>0.47364189832591097</v>
      </c>
      <c r="R18" s="66">
        <f>(1+((R6^2)-(AL6^2)))/2</f>
        <v>0.53922749453133745</v>
      </c>
      <c r="S18" s="66">
        <f>(1+((S6^2)-(AM6^2)))/2</f>
        <v>0.72669117670739525</v>
      </c>
      <c r="T18" s="67">
        <f>(1+((T6^2)-(AN6^2)))/2</f>
        <v>0.52278185077626449</v>
      </c>
      <c r="V18" s="65" t="s">
        <v>7</v>
      </c>
      <c r="W18" s="66">
        <f t="shared" si="4"/>
        <v>0.52895706349618554</v>
      </c>
      <c r="X18" s="66">
        <f t="shared" si="4"/>
        <v>0.52895706349618554</v>
      </c>
      <c r="Y18" s="66">
        <f t="shared" si="4"/>
        <v>0.56062988267140401</v>
      </c>
      <c r="Z18" s="66">
        <f t="shared" si="4"/>
        <v>0.65539527239355955</v>
      </c>
      <c r="AA18" s="66">
        <f t="shared" si="4"/>
        <v>0.51865706038740511</v>
      </c>
      <c r="AB18" s="66">
        <f t="shared" si="4"/>
        <v>0.68491780987478257</v>
      </c>
      <c r="AC18" s="66">
        <f t="shared" si="4"/>
        <v>0.64848948082389501</v>
      </c>
      <c r="AD18" s="66">
        <f t="shared" si="4"/>
        <v>0.58386965132217261</v>
      </c>
      <c r="AE18" s="66">
        <f t="shared" si="4"/>
        <v>0.68491780987478257</v>
      </c>
      <c r="AF18" s="66">
        <f t="shared" si="4"/>
        <v>0.73966504068309891</v>
      </c>
      <c r="AG18" s="66">
        <f t="shared" si="5"/>
        <v>0.48974034256272314</v>
      </c>
      <c r="AH18" s="66">
        <f t="shared" si="5"/>
        <v>0.62608906490960925</v>
      </c>
      <c r="AI18" s="66">
        <f t="shared" si="5"/>
        <v>0.66095864744074007</v>
      </c>
      <c r="AJ18" s="66">
        <f t="shared" si="5"/>
        <v>0.7272657582967561</v>
      </c>
      <c r="AK18" s="66">
        <f t="shared" si="5"/>
        <v>0.47364189832591097</v>
      </c>
      <c r="AL18" s="66">
        <f t="shared" si="5"/>
        <v>0.53922749453133745</v>
      </c>
      <c r="AM18" s="66">
        <f t="shared" si="5"/>
        <v>0.72669117670739525</v>
      </c>
      <c r="AN18" s="67">
        <f t="shared" si="5"/>
        <v>0.52278185077626449</v>
      </c>
    </row>
    <row r="19" spans="1:60" x14ac:dyDescent="0.55000000000000004">
      <c r="B19" s="65" t="s">
        <v>8</v>
      </c>
      <c r="C19" s="66">
        <f>(1+((C7^2)-(W7^2)))/2</f>
        <v>0.64414112393688805</v>
      </c>
      <c r="D19" s="66">
        <f>(1+((D7^2)-(X7^2)))/2</f>
        <v>0.52777898103690524</v>
      </c>
      <c r="E19" s="66">
        <f>(1+((E7^2)-(Y7^2)))/2</f>
        <v>0.44081515834448126</v>
      </c>
      <c r="F19" s="66">
        <f>(1+((F7^2)-(Z7^2)))/2</f>
        <v>0.62033809946249341</v>
      </c>
      <c r="G19" s="66">
        <f>(1+((G7^2)-(AA7^2)))/2</f>
        <v>0.64829399183349135</v>
      </c>
      <c r="H19" s="66">
        <f>(1+((H7^2)-(AB7^2)))/2</f>
        <v>0.5751545492486233</v>
      </c>
      <c r="I19" s="66">
        <f>(1+((I7^2)-(AC7^2)))/2</f>
        <v>0.58386965132217261</v>
      </c>
      <c r="J19" s="66">
        <f>(1+((J7^2)-(AD7^2)))/2</f>
        <v>0.60348549372553528</v>
      </c>
      <c r="K19" s="66">
        <f>(1+((K7^2)-(AE7^2)))/2</f>
        <v>0.5751545492486233</v>
      </c>
      <c r="L19" s="66">
        <f>(1+((L7^2)-(AF7^2)))/2</f>
        <v>0.60511665291808914</v>
      </c>
      <c r="M19" s="66">
        <f>(1+((M7^2)-(AG7^2)))/2</f>
        <v>0.71306927775493656</v>
      </c>
      <c r="N19" s="66">
        <f>(1+((N7^2)-(AH7^2)))/2</f>
        <v>0.63790802866665242</v>
      </c>
      <c r="O19" s="66">
        <f>(1+((O7^2)-(AI7^2)))/2</f>
        <v>0.58661878473260098</v>
      </c>
      <c r="P19" s="66">
        <f>(1+((P7^2)-(AJ7^2)))/2</f>
        <v>0.57389854419113417</v>
      </c>
      <c r="Q19" s="66">
        <f>(1+((Q7^2)-(AK7^2)))/2</f>
        <v>0.71369232170640728</v>
      </c>
      <c r="R19" s="66">
        <f>(1+((R7^2)-(AL7^2)))/2</f>
        <v>0.64848948082389501</v>
      </c>
      <c r="S19" s="66">
        <f>(1+((S7^2)-(AM7^2)))/2</f>
        <v>0.58987598894421833</v>
      </c>
      <c r="T19" s="67">
        <f>(1+((T7^2)-(AN7^2)))/2</f>
        <v>0.65539527239355944</v>
      </c>
      <c r="V19" s="65" t="s">
        <v>8</v>
      </c>
      <c r="W19" s="66">
        <f t="shared" si="4"/>
        <v>0.64414112393688805</v>
      </c>
      <c r="X19" s="66">
        <f t="shared" si="4"/>
        <v>0.52777898103690524</v>
      </c>
      <c r="Y19" s="66">
        <f t="shared" si="4"/>
        <v>0.44081515834448126</v>
      </c>
      <c r="Z19" s="66">
        <f t="shared" si="4"/>
        <v>0.62033809946249341</v>
      </c>
      <c r="AA19" s="66">
        <f t="shared" si="4"/>
        <v>0.64829399183349135</v>
      </c>
      <c r="AB19" s="66">
        <f t="shared" si="4"/>
        <v>0.5751545492486233</v>
      </c>
      <c r="AC19" s="66">
        <f t="shared" si="4"/>
        <v>0.58386965132217261</v>
      </c>
      <c r="AD19" s="66">
        <f t="shared" si="4"/>
        <v>0.60348549372553528</v>
      </c>
      <c r="AE19" s="66">
        <f t="shared" si="4"/>
        <v>0.5751545492486233</v>
      </c>
      <c r="AF19" s="66">
        <f t="shared" si="4"/>
        <v>0.60511665291808914</v>
      </c>
      <c r="AG19" s="66">
        <f t="shared" si="5"/>
        <v>0.71306927775493656</v>
      </c>
      <c r="AH19" s="66">
        <f t="shared" si="5"/>
        <v>0.63790802866665242</v>
      </c>
      <c r="AI19" s="66">
        <f t="shared" si="5"/>
        <v>0.58661878473260098</v>
      </c>
      <c r="AJ19" s="66">
        <f t="shared" si="5"/>
        <v>0.57389854419113417</v>
      </c>
      <c r="AK19" s="66">
        <f t="shared" si="5"/>
        <v>0.71369232170640728</v>
      </c>
      <c r="AL19" s="66">
        <f t="shared" si="5"/>
        <v>0.64848948082389501</v>
      </c>
      <c r="AM19" s="66">
        <f t="shared" si="5"/>
        <v>0.58987598894421833</v>
      </c>
      <c r="AN19" s="67">
        <f t="shared" si="5"/>
        <v>0.65539527239355944</v>
      </c>
    </row>
    <row r="20" spans="1:60" x14ac:dyDescent="0.55000000000000004">
      <c r="B20" s="65" t="s">
        <v>9</v>
      </c>
      <c r="C20" s="66">
        <f>(1+((C8^2)-(W8^2)))/2</f>
        <v>0.46414211040090747</v>
      </c>
      <c r="D20" s="66">
        <f>(1+((D8^2)-(X8^2)))/2</f>
        <v>0.30224493738874209</v>
      </c>
      <c r="E20" s="66">
        <f>(1+((E8^2)-(Y8^2)))/2</f>
        <v>0.52157613506561029</v>
      </c>
      <c r="F20" s="66">
        <f>(1+((F8^2)-(Z8^2)))/2</f>
        <v>0.57734732959924318</v>
      </c>
      <c r="G20" s="66">
        <f>(1+((G8^2)-(AA8^2)))/2</f>
        <v>0.53292564392806996</v>
      </c>
      <c r="H20" s="66">
        <f>(1+((H8^2)-(AB8^2)))/2</f>
        <v>0.59830385558576804</v>
      </c>
      <c r="I20" s="66">
        <f>(1+((I8^2)-(AC8^2)))/2</f>
        <v>0.75202175778192581</v>
      </c>
      <c r="J20" s="66">
        <f>(1+((J8^2)-(AD8^2)))/2</f>
        <v>0.75202175778192581</v>
      </c>
      <c r="K20" s="66">
        <f>(1+((K8^2)-(AE8^2)))/2</f>
        <v>0.68075527283773962</v>
      </c>
      <c r="L20" s="66">
        <f>(1+((L8^2)-(AF8^2)))/2</f>
        <v>0.67170016143767675</v>
      </c>
      <c r="M20" s="66">
        <f>(1+((M8^2)-(AG8^2)))/2</f>
        <v>0.56220153024131014</v>
      </c>
      <c r="N20" s="66">
        <f>(1+((N8^2)-(AH8^2)))/2</f>
        <v>0.62279098012752032</v>
      </c>
      <c r="O20" s="66">
        <f>(1+((O8^2)-(AI8^2)))/2</f>
        <v>0.5451907479386211</v>
      </c>
      <c r="P20" s="66">
        <f>(1+((P8^2)-(AJ8^2)))/2</f>
        <v>0.71369232170640728</v>
      </c>
      <c r="Q20" s="66">
        <f>(1+((Q8^2)-(AK8^2)))/2</f>
        <v>0.47752880945518145</v>
      </c>
      <c r="R20" s="66">
        <f>(1+((R8^2)-(AL8^2)))/2</f>
        <v>0.48516244761575744</v>
      </c>
      <c r="S20" s="66">
        <f>(1+((S8^2)-(AM8^2)))/2</f>
        <v>0.58063690541099244</v>
      </c>
      <c r="T20" s="67">
        <f>(1+((T8^2)-(AN8^2)))/2</f>
        <v>0.66941994279782158</v>
      </c>
      <c r="V20" s="65" t="s">
        <v>9</v>
      </c>
      <c r="W20" s="66">
        <f t="shared" si="4"/>
        <v>0.46414211040090747</v>
      </c>
      <c r="X20" s="66">
        <f t="shared" si="4"/>
        <v>0.30224493738874209</v>
      </c>
      <c r="Y20" s="66">
        <f t="shared" si="4"/>
        <v>0.52157613506561029</v>
      </c>
      <c r="Z20" s="66">
        <f t="shared" si="4"/>
        <v>0.57734732959924318</v>
      </c>
      <c r="AA20" s="66">
        <f t="shared" si="4"/>
        <v>0.53292564392806996</v>
      </c>
      <c r="AB20" s="66">
        <f t="shared" si="4"/>
        <v>0.59830385558576804</v>
      </c>
      <c r="AC20" s="66">
        <f t="shared" si="4"/>
        <v>0.75202175778192581</v>
      </c>
      <c r="AD20" s="66">
        <f t="shared" si="4"/>
        <v>0.75202175778192581</v>
      </c>
      <c r="AE20" s="66">
        <f t="shared" si="4"/>
        <v>0.68075527283773962</v>
      </c>
      <c r="AF20" s="66">
        <f t="shared" si="4"/>
        <v>0.67170016143767675</v>
      </c>
      <c r="AG20" s="66">
        <f t="shared" si="5"/>
        <v>0.56220153024131014</v>
      </c>
      <c r="AH20" s="66">
        <f t="shared" si="5"/>
        <v>0.62279098012752032</v>
      </c>
      <c r="AI20" s="66">
        <f t="shared" si="5"/>
        <v>0.5451907479386211</v>
      </c>
      <c r="AJ20" s="66">
        <f t="shared" si="5"/>
        <v>0.71369232170640728</v>
      </c>
      <c r="AK20" s="66">
        <f t="shared" si="5"/>
        <v>0.47752880945518145</v>
      </c>
      <c r="AL20" s="66">
        <f t="shared" si="5"/>
        <v>0.48516244761575744</v>
      </c>
      <c r="AM20" s="66">
        <f t="shared" si="5"/>
        <v>0.58063690541099244</v>
      </c>
      <c r="AN20" s="67">
        <f t="shared" si="5"/>
        <v>0.66941994279782158</v>
      </c>
    </row>
    <row r="21" spans="1:60" s="8" customFormat="1" ht="14.7" thickBot="1" x14ac:dyDescent="0.6">
      <c r="B21" s="81" t="s">
        <v>56</v>
      </c>
      <c r="C21" s="82">
        <f>(1+((C13^2)-(W13^2)))/2</f>
        <v>0.62401298098898583</v>
      </c>
      <c r="D21" s="82">
        <f t="shared" ref="D21:T21" si="6">(1+((D13^2)-(X13^2)))/2</f>
        <v>0.55700889424254685</v>
      </c>
      <c r="E21" s="82">
        <f t="shared" si="6"/>
        <v>0.61825761539089452</v>
      </c>
      <c r="F21" s="82">
        <f t="shared" si="6"/>
        <v>0.69441267983887389</v>
      </c>
      <c r="G21" s="82">
        <f t="shared" si="6"/>
        <v>0.64577678227294399</v>
      </c>
      <c r="H21" s="82">
        <f t="shared" si="6"/>
        <v>0.70019022920220919</v>
      </c>
      <c r="I21" s="82">
        <f t="shared" si="6"/>
        <v>0.72721848738720984</v>
      </c>
      <c r="J21" s="82">
        <f t="shared" si="6"/>
        <v>0.70528824584336913</v>
      </c>
      <c r="K21" s="82">
        <f t="shared" si="6"/>
        <v>0.71697525361509862</v>
      </c>
      <c r="L21" s="82">
        <f t="shared" si="6"/>
        <v>0.71629634625815031</v>
      </c>
      <c r="M21" s="82">
        <f t="shared" si="6"/>
        <v>0.67542684602961134</v>
      </c>
      <c r="N21" s="82">
        <f t="shared" si="6"/>
        <v>0.70508211356312422</v>
      </c>
      <c r="O21" s="82">
        <f t="shared" si="6"/>
        <v>0.6777631662083613</v>
      </c>
      <c r="P21" s="82">
        <f t="shared" si="6"/>
        <v>0.7352660921244123</v>
      </c>
      <c r="Q21" s="82">
        <f t="shared" si="6"/>
        <v>0.65727516151015919</v>
      </c>
      <c r="R21" s="82">
        <f t="shared" si="6"/>
        <v>0.66448479614203171</v>
      </c>
      <c r="S21" s="82">
        <f t="shared" si="6"/>
        <v>0.71723192256294699</v>
      </c>
      <c r="T21" s="83">
        <f t="shared" si="6"/>
        <v>0.68644062204353007</v>
      </c>
      <c r="U21" s="61"/>
      <c r="V21" s="81" t="s">
        <v>56</v>
      </c>
      <c r="W21" s="82">
        <f t="shared" si="4"/>
        <v>0.62401298098898583</v>
      </c>
      <c r="X21" s="82">
        <f t="shared" si="4"/>
        <v>0.55700889424254685</v>
      </c>
      <c r="Y21" s="82">
        <f t="shared" si="4"/>
        <v>0.61825761539089452</v>
      </c>
      <c r="Z21" s="82">
        <f t="shared" si="4"/>
        <v>0.69441267983887389</v>
      </c>
      <c r="AA21" s="82">
        <f t="shared" si="4"/>
        <v>0.64577678227294399</v>
      </c>
      <c r="AB21" s="82">
        <f t="shared" si="4"/>
        <v>0.70019022920220919</v>
      </c>
      <c r="AC21" s="82">
        <f t="shared" si="4"/>
        <v>0.72721848738720984</v>
      </c>
      <c r="AD21" s="82">
        <f t="shared" si="4"/>
        <v>0.70528824584336913</v>
      </c>
      <c r="AE21" s="82">
        <f t="shared" si="4"/>
        <v>0.71697525361509862</v>
      </c>
      <c r="AF21" s="82">
        <f t="shared" si="4"/>
        <v>0.71629634625815031</v>
      </c>
      <c r="AG21" s="82">
        <f t="shared" si="5"/>
        <v>0.67542684602961134</v>
      </c>
      <c r="AH21" s="82">
        <f t="shared" si="5"/>
        <v>0.70508211356312422</v>
      </c>
      <c r="AI21" s="82">
        <f t="shared" si="5"/>
        <v>0.6777631662083613</v>
      </c>
      <c r="AJ21" s="82">
        <f t="shared" si="5"/>
        <v>0.7352660921244123</v>
      </c>
      <c r="AK21" s="82">
        <f t="shared" si="5"/>
        <v>0.65727516151015919</v>
      </c>
      <c r="AL21" s="82">
        <f t="shared" si="5"/>
        <v>0.66448479614203171</v>
      </c>
      <c r="AM21" s="82">
        <f t="shared" si="5"/>
        <v>0.71723192256294699</v>
      </c>
      <c r="AN21" s="83">
        <f t="shared" si="5"/>
        <v>0.68644062204353007</v>
      </c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</row>
    <row r="22" spans="1:60" s="8" customFormat="1" x14ac:dyDescent="0.55000000000000004">
      <c r="B22" s="85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61"/>
      <c r="V22" s="85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</row>
    <row r="23" spans="1:60" s="8" customFormat="1" ht="16.2" customHeight="1" x14ac:dyDescent="0.55000000000000004">
      <c r="B23" s="77" t="s">
        <v>80</v>
      </c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</row>
    <row r="24" spans="1:60" ht="14.7" thickBot="1" x14ac:dyDescent="0.6">
      <c r="B24" s="4"/>
      <c r="C24" s="5"/>
      <c r="D24" s="5"/>
      <c r="E24" s="5"/>
      <c r="F24" s="5"/>
      <c r="G24" s="5"/>
      <c r="H24" s="5"/>
      <c r="I24" s="5"/>
      <c r="J24" s="5"/>
      <c r="K24" s="5"/>
    </row>
    <row r="25" spans="1:60" x14ac:dyDescent="0.55000000000000004">
      <c r="B25" s="87" t="s">
        <v>62</v>
      </c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9"/>
      <c r="V25" s="87" t="s">
        <v>63</v>
      </c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9"/>
    </row>
    <row r="26" spans="1:60" x14ac:dyDescent="0.55000000000000004">
      <c r="B26" s="65" t="s">
        <v>6</v>
      </c>
      <c r="C26" s="76">
        <f>(MAX(1,EXP(C21-C17))/EXP(C$21))</f>
        <v>0.66670637937264743</v>
      </c>
      <c r="D26" s="76">
        <f>(MAX(1,EXP(D21-D17))/EXP(D$21))</f>
        <v>0.70110043599337246</v>
      </c>
      <c r="E26" s="76">
        <f>(MAX(1,EXP(E17-E$21))/EXP(E$21))</f>
        <v>0.53888256075163077</v>
      </c>
      <c r="F26" s="76">
        <f t="shared" ref="F26:T26" si="7">(MAX(1,EXP(F17-F$21))/EXP(F$21))</f>
        <v>0.49936765056380522</v>
      </c>
      <c r="G26" s="76">
        <f t="shared" si="7"/>
        <v>0.52425515179187865</v>
      </c>
      <c r="H26" s="76">
        <f>(MAX(1,EXP(H21-H17))/EXP(H$21))</f>
        <v>0.529519572877028</v>
      </c>
      <c r="I26" s="76">
        <f t="shared" si="7"/>
        <v>0.48325129197373684</v>
      </c>
      <c r="J26" s="76">
        <f t="shared" si="7"/>
        <v>0.4939661700381372</v>
      </c>
      <c r="K26" s="76">
        <f>(MAX(1,EXP(K21-K17))/EXP(K$21))</f>
        <v>0.52951957287702811</v>
      </c>
      <c r="L26" s="76">
        <f t="shared" si="7"/>
        <v>0.48855836030212912</v>
      </c>
      <c r="M26" s="76">
        <f t="shared" si="7"/>
        <v>0.50893913558788473</v>
      </c>
      <c r="N26" s="76">
        <f>(MAX(1,EXP(N21-N17))/EXP(N$21))</f>
        <v>0.52820104142901292</v>
      </c>
      <c r="O26" s="76">
        <f>(MAX(1,EXP(O21-O17))/EXP(O$21))</f>
        <v>0.56876834719484326</v>
      </c>
      <c r="P26" s="76">
        <f t="shared" si="7"/>
        <v>0.47937788332283898</v>
      </c>
      <c r="Q26" s="76">
        <f t="shared" si="7"/>
        <v>0.51826159139001993</v>
      </c>
      <c r="R26" s="76">
        <f t="shared" si="7"/>
        <v>0.51453855167698115</v>
      </c>
      <c r="S26" s="76">
        <f t="shared" si="7"/>
        <v>0.48810149042835915</v>
      </c>
      <c r="T26" s="90">
        <f t="shared" si="7"/>
        <v>0.50336454891945226</v>
      </c>
      <c r="V26" s="65" t="s">
        <v>6</v>
      </c>
      <c r="W26" s="66">
        <f>(MAX(1,EXP(W17-W21))/EXP(W$21))</f>
        <v>0.53579000253819231</v>
      </c>
      <c r="X26" s="66">
        <f>(MAX(1,EXP(X17-X21))/EXP(X$21))</f>
        <v>0.57292016833991999</v>
      </c>
      <c r="Y26" s="66">
        <f>(MAX(1,EXP(Y$21-Y17))/EXP(Y$21))</f>
        <v>0.59205903902235502</v>
      </c>
      <c r="Z26" s="66">
        <f>(MAX(1,EXP(Z$21-Z17))/EXP(Z$21))</f>
        <v>0.5392380179921652</v>
      </c>
      <c r="AA26" s="66">
        <f>(MAX(1,EXP(AA$21-AA17))/EXP(AA$21))</f>
        <v>0.6125367252839794</v>
      </c>
      <c r="AB26" s="66">
        <f>(MAX(1,EXP(AB17-AB21))/EXP(AB$21))</f>
        <v>0.496490847749674</v>
      </c>
      <c r="AC26" s="66">
        <f>(MAX(1,EXP(AC$21-AC17))/EXP(AC$21))</f>
        <v>0.5323861038548876</v>
      </c>
      <c r="AD26" s="66">
        <f>(MAX(1,EXP(AD$21-AD17))/EXP(AD$21))</f>
        <v>0.58335096253464069</v>
      </c>
      <c r="AE26" s="66">
        <f>(MAX(1,EXP(AE17-AE21))/EXP(AE$21))</f>
        <v>0.48822678700353289</v>
      </c>
      <c r="AF26" s="66">
        <f t="shared" ref="AF26:AN26" si="8">(MAX(1,EXP(AF$21-AF17))/EXP(AF$21))</f>
        <v>0.59557720512497769</v>
      </c>
      <c r="AG26" s="66">
        <f>(MAX(1,EXP(AG$21-AG17))/EXP(AG$21))</f>
        <v>0.56995291305497386</v>
      </c>
      <c r="AH26" s="66">
        <f>(MAX(1,EXP(AH17-AH21))/EXP(AH$21))</f>
        <v>0.49406800290629116</v>
      </c>
      <c r="AI26" s="66">
        <f>(MAX(1,EXP(AI17-AI21))/EXP(AI$21))</f>
        <v>0.50775147872922199</v>
      </c>
      <c r="AJ26" s="66">
        <f t="shared" si="8"/>
        <v>0.52697784195873354</v>
      </c>
      <c r="AK26" s="66">
        <f t="shared" si="8"/>
        <v>0.58335096253464069</v>
      </c>
      <c r="AL26" s="66">
        <f t="shared" si="8"/>
        <v>0.54193474580658052</v>
      </c>
      <c r="AM26" s="66">
        <f t="shared" si="8"/>
        <v>0.51200548413551217</v>
      </c>
      <c r="AN26" s="67">
        <f t="shared" si="8"/>
        <v>0.57322710284645051</v>
      </c>
    </row>
    <row r="27" spans="1:60" x14ac:dyDescent="0.55000000000000004">
      <c r="B27" s="65" t="s">
        <v>7</v>
      </c>
      <c r="C27" s="76">
        <f>(MAX(1,EXP(C21-C18))/EXP(C$21))</f>
        <v>0.58921916751655956</v>
      </c>
      <c r="D27" s="76">
        <f>(MAX(1,EXP(D21-D18))/EXP(D$21))</f>
        <v>0.58921916751655956</v>
      </c>
      <c r="E27" s="76">
        <f t="shared" ref="E27:T27" si="9">(MAX(1,EXP(E18-E$21))/EXP(E$21))</f>
        <v>0.53888256075163077</v>
      </c>
      <c r="F27" s="76">
        <f t="shared" si="9"/>
        <v>0.49936765056380522</v>
      </c>
      <c r="G27" s="76">
        <f t="shared" si="9"/>
        <v>0.52425515179187865</v>
      </c>
      <c r="H27" s="76">
        <f>(MAX(1,EXP(H21-H18))/EXP(H$21))</f>
        <v>0.50413166251658115</v>
      </c>
      <c r="I27" s="76">
        <f t="shared" si="9"/>
        <v>0.48325129197373684</v>
      </c>
      <c r="J27" s="76">
        <f t="shared" si="9"/>
        <v>0.4939661700381372</v>
      </c>
      <c r="K27" s="76">
        <f>(MAX(1,EXP(K21-K18))/EXP(K$21))</f>
        <v>0.50413166251658115</v>
      </c>
      <c r="L27" s="76">
        <f t="shared" si="9"/>
        <v>0.50010977641246901</v>
      </c>
      <c r="M27" s="76">
        <f t="shared" si="9"/>
        <v>0.50893913558788473</v>
      </c>
      <c r="N27" s="76">
        <f>(MAX(1,EXP(N21-N18))/EXP(N$21))</f>
        <v>0.53467881139124274</v>
      </c>
      <c r="O27" s="76">
        <f>(MAX(1,EXP(O21-O18))/EXP(O$21))</f>
        <v>0.51635609370123126</v>
      </c>
      <c r="P27" s="76">
        <f t="shared" si="9"/>
        <v>0.47937788332283898</v>
      </c>
      <c r="Q27" s="76">
        <f t="shared" si="9"/>
        <v>0.51826159139001993</v>
      </c>
      <c r="R27" s="76">
        <f t="shared" si="9"/>
        <v>0.51453855167698115</v>
      </c>
      <c r="S27" s="76">
        <f t="shared" si="9"/>
        <v>0.49274047253966524</v>
      </c>
      <c r="T27" s="90">
        <f t="shared" si="9"/>
        <v>0.50336454891945226</v>
      </c>
      <c r="V27" s="65" t="s">
        <v>7</v>
      </c>
      <c r="W27" s="66">
        <f>(MAX(1,EXP(W18-W21))/EXP(W$21))</f>
        <v>0.53579000253819231</v>
      </c>
      <c r="X27" s="66">
        <f>(MAX(1,EXP(X18-X21))/EXP(X$21))</f>
        <v>0.57292016833991999</v>
      </c>
      <c r="Y27" s="66">
        <f>(MAX(1,EXP(Y$21-Y18))/EXP(Y$21))</f>
        <v>0.57084938244818051</v>
      </c>
      <c r="Z27" s="66">
        <f>(MAX(1,EXP(Z$21-Z18))/EXP(Z$21))</f>
        <v>0.51923678205319068</v>
      </c>
      <c r="AA27" s="66">
        <f>(MAX(1,EXP(AA$21-AA18))/EXP(AA$21))</f>
        <v>0.59531948950961255</v>
      </c>
      <c r="AB27" s="66">
        <f>(MAX(1,EXP(AB18-AB21))/EXP(AB$21))</f>
        <v>0.496490847749674</v>
      </c>
      <c r="AC27" s="66">
        <f>(MAX(1,EXP(AC$21-AC18))/EXP(AC$21))</f>
        <v>0.52283493278522264</v>
      </c>
      <c r="AD27" s="66">
        <f>(MAX(1,EXP(AD$21-AD18))/EXP(AD$21))</f>
        <v>0.55773594172439389</v>
      </c>
      <c r="AE27" s="66">
        <f>(MAX(1,EXP(AE18-AE21))/EXP(AE$21))</f>
        <v>0.48822678700353289</v>
      </c>
      <c r="AF27" s="66">
        <f>(MAX(1,EXP(AF$21-AF18))/EXP(AF$21))</f>
        <v>0.48855836030212912</v>
      </c>
      <c r="AG27" s="66">
        <f>(MAX(1,EXP(AG$21-AG18))/EXP(AG$21))</f>
        <v>0.61278548783796949</v>
      </c>
      <c r="AH27" s="66">
        <f>(MAX(1,EXP(AH18-AH21))/EXP(AH$21))</f>
        <v>0.49406800290629116</v>
      </c>
      <c r="AI27" s="66">
        <f>(MAX(1,EXP(AI18-AI21))/EXP(AI$21))</f>
        <v>0.50775147872922199</v>
      </c>
      <c r="AJ27" s="66">
        <f t="shared" ref="AJ27:AN27" si="10">(MAX(1,EXP(AJ$21-AJ18))/EXP(AJ$21))</f>
        <v>0.48322844878553922</v>
      </c>
      <c r="AK27" s="66">
        <f t="shared" si="10"/>
        <v>0.6227302133759004</v>
      </c>
      <c r="AL27" s="66">
        <f t="shared" si="10"/>
        <v>0.58319860251237843</v>
      </c>
      <c r="AM27" s="66">
        <f t="shared" si="10"/>
        <v>0.48810149042835915</v>
      </c>
      <c r="AN27" s="67">
        <f t="shared" si="10"/>
        <v>0.59286897879689382</v>
      </c>
    </row>
    <row r="28" spans="1:60" x14ac:dyDescent="0.55000000000000004">
      <c r="B28" s="65" t="s">
        <v>8</v>
      </c>
      <c r="C28" s="76">
        <f>(MAX(1,EXP(C21-C19))/EXP(C$21))</f>
        <v>0.53579000253819231</v>
      </c>
      <c r="D28" s="76">
        <f>(MAX(1,EXP(D21-D19))/EXP(D$21))</f>
        <v>0.58991372532533815</v>
      </c>
      <c r="E28" s="76">
        <f t="shared" ref="E28:T28" si="11">(MAX(1,EXP(E19-E$21))/EXP(E$21))</f>
        <v>0.53888256075163077</v>
      </c>
      <c r="F28" s="76">
        <f t="shared" si="11"/>
        <v>0.49936765056380522</v>
      </c>
      <c r="G28" s="76">
        <f t="shared" si="11"/>
        <v>0.52557647419713482</v>
      </c>
      <c r="H28" s="76">
        <f>(MAX(1,EXP(H21-H19))/EXP(H$21))</f>
        <v>0.56261790991217397</v>
      </c>
      <c r="I28" s="76">
        <f t="shared" si="11"/>
        <v>0.48325129197373684</v>
      </c>
      <c r="J28" s="76">
        <f t="shared" si="11"/>
        <v>0.4939661700381372</v>
      </c>
      <c r="K28" s="76">
        <f>(MAX(1,EXP(K21-K19))/EXP(K$21))</f>
        <v>0.56261790991217397</v>
      </c>
      <c r="L28" s="76">
        <f t="shared" si="11"/>
        <v>0.48855836030212912</v>
      </c>
      <c r="M28" s="76">
        <f t="shared" si="11"/>
        <v>0.52846198074333584</v>
      </c>
      <c r="N28" s="76">
        <f>(MAX(1,EXP(N21-N19))/EXP(N$21))</f>
        <v>0.52839665928996937</v>
      </c>
      <c r="O28" s="76">
        <f>(MAX(1,EXP(O21-O19))/EXP(O$21))</f>
        <v>0.55620475689284887</v>
      </c>
      <c r="P28" s="76">
        <f t="shared" si="11"/>
        <v>0.47937788332283898</v>
      </c>
      <c r="Q28" s="76">
        <f t="shared" si="11"/>
        <v>0.5483409569397093</v>
      </c>
      <c r="R28" s="76">
        <f t="shared" si="11"/>
        <v>0.51453855167698115</v>
      </c>
      <c r="S28" s="76">
        <f t="shared" si="11"/>
        <v>0.48810149042835915</v>
      </c>
      <c r="T28" s="90">
        <f t="shared" si="11"/>
        <v>0.50336454891945226</v>
      </c>
      <c r="V28" s="65" t="s">
        <v>8</v>
      </c>
      <c r="W28" s="66">
        <f>(MAX(1,EXP(W19-W21))/EXP(W$21))</f>
        <v>0.54668372773859542</v>
      </c>
      <c r="X28" s="66">
        <f>(MAX(1,EXP(X19-X21))/EXP(X$21))</f>
        <v>0.57292016833991999</v>
      </c>
      <c r="Y28" s="66">
        <f>(MAX(1,EXP(Y$21-Y19))/EXP(Y$21))</f>
        <v>0.64351164333788347</v>
      </c>
      <c r="Z28" s="66">
        <f>(MAX(1,EXP(Z$21-Z19))/EXP(Z$21))</f>
        <v>0.53776258961255718</v>
      </c>
      <c r="AA28" s="66">
        <f>(MAX(1,EXP(AA$21-AA19))/EXP(AA$21))</f>
        <v>0.52425515179187865</v>
      </c>
      <c r="AB28" s="66">
        <f>(MAX(1,EXP(AB19-AB21))/EXP(AB$21))</f>
        <v>0.496490847749674</v>
      </c>
      <c r="AC28" s="66">
        <f>(MAX(1,EXP(AC$21-AC19))/EXP(AC$21))</f>
        <v>0.55773594172439389</v>
      </c>
      <c r="AD28" s="66">
        <f>(MAX(1,EXP(AD$21-AD19))/EXP(AD$21))</f>
        <v>0.54690208637490867</v>
      </c>
      <c r="AE28" s="66">
        <f>(MAX(1,EXP(AE19-AE21))/EXP(AE$21))</f>
        <v>0.48822678700353289</v>
      </c>
      <c r="AF28" s="66">
        <f>(MAX(1,EXP(AF$21-AF19))/EXP(AF$21))</f>
        <v>0.54601072917966764</v>
      </c>
      <c r="AG28" s="66">
        <f>(MAX(1,EXP(AG$21-AG19))/EXP(AG$21))</f>
        <v>0.50893913558788473</v>
      </c>
      <c r="AH28" s="66">
        <f>(MAX(1,EXP(AH19-AH21))/EXP(AH$21))</f>
        <v>0.49406800290629116</v>
      </c>
      <c r="AI28" s="66">
        <f>(MAX(1,EXP(AI19-AI21))/EXP(AI$21))</f>
        <v>0.50775147872922199</v>
      </c>
      <c r="AJ28" s="66">
        <f t="shared" ref="AJ28:AM28" si="12">(MAX(1,EXP(AJ$21-AJ19))/EXP(AJ$21))</f>
        <v>0.5633250048168893</v>
      </c>
      <c r="AK28" s="66">
        <f t="shared" si="12"/>
        <v>0.51826159139001993</v>
      </c>
      <c r="AL28" s="66">
        <f t="shared" si="12"/>
        <v>0.52283493278522253</v>
      </c>
      <c r="AM28" s="66">
        <f t="shared" si="12"/>
        <v>0.55439603170893981</v>
      </c>
      <c r="AN28" s="67">
        <f>(MAX(1,EXP(AN$21-AN19))/EXP(AN$21))</f>
        <v>0.51923678205319068</v>
      </c>
    </row>
    <row r="29" spans="1:60" ht="14.7" thickBot="1" x14ac:dyDescent="0.6">
      <c r="B29" s="65" t="s">
        <v>9</v>
      </c>
      <c r="C29" s="76">
        <f>(MAX(1,EXP(C21-C20))/EXP(C$21))</f>
        <v>0.6286742069750515</v>
      </c>
      <c r="D29" s="76">
        <f>(MAX(1,EXP(D21-D20))/EXP(D$21))</f>
        <v>0.73915699553075331</v>
      </c>
      <c r="E29" s="76">
        <f t="shared" ref="E29:T29" si="13">(MAX(1,EXP(E20-E$21))/EXP(E$21))</f>
        <v>0.53888256075163077</v>
      </c>
      <c r="F29" s="76">
        <f t="shared" si="13"/>
        <v>0.49936765056380522</v>
      </c>
      <c r="G29" s="76">
        <f t="shared" si="13"/>
        <v>0.52425515179187865</v>
      </c>
      <c r="H29" s="76">
        <f>(MAX(1,EXP(H21-H20))/EXP(H$21))</f>
        <v>0.5497432897712865</v>
      </c>
      <c r="I29" s="76">
        <f t="shared" si="13"/>
        <v>0.49538738972099222</v>
      </c>
      <c r="J29" s="76">
        <f t="shared" si="13"/>
        <v>0.51759886225984253</v>
      </c>
      <c r="K29" s="76">
        <f>(MAX(1,EXP(K21-K20))/EXP(K$21))</f>
        <v>0.50623450277230109</v>
      </c>
      <c r="L29" s="76">
        <f t="shared" si="13"/>
        <v>0.48855836030212912</v>
      </c>
      <c r="M29" s="76">
        <f t="shared" si="13"/>
        <v>0.50893913558788473</v>
      </c>
      <c r="N29" s="76">
        <f>(MAX(1,EXP(N21-N20))/EXP(N$21))</f>
        <v>0.53644513858974274</v>
      </c>
      <c r="O29" s="76">
        <f>(MAX(1,EXP(O21-O20))/EXP(O$21))</f>
        <v>0.57973119026298403</v>
      </c>
      <c r="P29" s="76">
        <f t="shared" si="13"/>
        <v>0.47937788332283898</v>
      </c>
      <c r="Q29" s="76">
        <f t="shared" si="13"/>
        <v>0.51826159139001993</v>
      </c>
      <c r="R29" s="76">
        <f t="shared" si="13"/>
        <v>0.51453855167698115</v>
      </c>
      <c r="S29" s="76">
        <f t="shared" si="13"/>
        <v>0.48810149042835915</v>
      </c>
      <c r="T29" s="90">
        <f t="shared" si="13"/>
        <v>0.50336454891945226</v>
      </c>
      <c r="V29" s="68" t="s">
        <v>9</v>
      </c>
      <c r="W29" s="69">
        <f>(MAX(1,EXP(W20-W21))/EXP(W$21))</f>
        <v>0.53579000253819231</v>
      </c>
      <c r="X29" s="69">
        <f>(MAX(1,EXP(X20-X21))/EXP(X$21))</f>
        <v>0.57292016833991999</v>
      </c>
      <c r="Y29" s="69">
        <f>(MAX(1,EXP(Y$21-Y20))/EXP(Y$21))</f>
        <v>0.5935842413539888</v>
      </c>
      <c r="Z29" s="69">
        <f>(MAX(1,EXP(Z$21-Z20))/EXP(Z$21))</f>
        <v>0.56138556404010764</v>
      </c>
      <c r="AA29" s="69">
        <f>(MAX(1,EXP(AA$21-AA20))/EXP(AA$21))</f>
        <v>0.58688543771841506</v>
      </c>
      <c r="AB29" s="69">
        <f>(MAX(1,EXP(AB20-AB21))/EXP(AB$21))</f>
        <v>0.496490847749674</v>
      </c>
      <c r="AC29" s="69">
        <f>(MAX(1,EXP(AC$21-AC20))/EXP(AC$21))</f>
        <v>0.48325129197373684</v>
      </c>
      <c r="AD29" s="69">
        <f>(MAX(1,EXP(AD$21-AD20))/EXP(AD$21))</f>
        <v>0.4939661700381372</v>
      </c>
      <c r="AE29" s="69">
        <f>(MAX(1,EXP(AE20-AE21))/EXP(AE$21))</f>
        <v>0.48822678700353289</v>
      </c>
      <c r="AF29" s="69">
        <f>(MAX(1,EXP(AF$21-AF20))/EXP(AF$21))</f>
        <v>0.51083932973565305</v>
      </c>
      <c r="AG29" s="69">
        <f>(MAX(1,EXP(AG$21-AG20))/EXP(AG$21))</f>
        <v>0.56995291305497386</v>
      </c>
      <c r="AH29" s="69">
        <f>(MAX(1,EXP(AH20-AH21))/EXP(AH$21))</f>
        <v>0.49406800290629116</v>
      </c>
      <c r="AI29" s="69">
        <f>(MAX(1,EXP(AI20-AI21))/EXP(AI$21))</f>
        <v>0.50775147872922199</v>
      </c>
      <c r="AJ29" s="69">
        <f t="shared" ref="AJ29:AL29" si="14">(MAX(1,EXP(AJ$21-AJ20))/EXP(AJ$21))</f>
        <v>0.4898322361494663</v>
      </c>
      <c r="AK29" s="69">
        <f t="shared" si="14"/>
        <v>0.62031441441842949</v>
      </c>
      <c r="AL29" s="69">
        <f t="shared" si="14"/>
        <v>0.61559718634608906</v>
      </c>
      <c r="AM29" s="69">
        <f>(MAX(1,EXP(AM$21-AM20))/EXP(AM$21))</f>
        <v>0.55954187780299225</v>
      </c>
      <c r="AN29" s="70">
        <f>(MAX(1,EXP(AN$21-AN20))/EXP(AN$21))</f>
        <v>0.51200548413551217</v>
      </c>
    </row>
    <row r="30" spans="1:60" x14ac:dyDescent="0.55000000000000004">
      <c r="B30" s="109"/>
      <c r="C30" s="110" t="s">
        <v>10</v>
      </c>
      <c r="D30" s="110" t="s">
        <v>11</v>
      </c>
      <c r="E30" s="110" t="s">
        <v>12</v>
      </c>
      <c r="F30" s="110" t="s">
        <v>13</v>
      </c>
      <c r="G30" s="110" t="s">
        <v>14</v>
      </c>
      <c r="H30" s="110" t="s">
        <v>15</v>
      </c>
      <c r="I30" s="110" t="s">
        <v>16</v>
      </c>
      <c r="J30" s="110" t="s">
        <v>17</v>
      </c>
      <c r="K30" s="110" t="s">
        <v>18</v>
      </c>
      <c r="L30" s="110" t="s">
        <v>19</v>
      </c>
      <c r="M30" s="110" t="s">
        <v>20</v>
      </c>
      <c r="N30" s="110" t="s">
        <v>21</v>
      </c>
      <c r="O30" s="110" t="s">
        <v>22</v>
      </c>
      <c r="P30" s="110" t="s">
        <v>23</v>
      </c>
      <c r="Q30" s="110" t="s">
        <v>24</v>
      </c>
      <c r="R30" s="110" t="s">
        <v>25</v>
      </c>
      <c r="S30" s="110" t="s">
        <v>26</v>
      </c>
      <c r="T30" s="111" t="s">
        <v>27</v>
      </c>
    </row>
    <row r="31" spans="1:60" x14ac:dyDescent="0.55000000000000004">
      <c r="B31" s="106" t="s">
        <v>78</v>
      </c>
      <c r="C31" s="107">
        <f>'PF ITARA'!BB40</f>
        <v>6.4805060722070651E-2</v>
      </c>
      <c r="D31" s="107">
        <f>'PF ITARA'!BC40</f>
        <v>0.12642657174886926</v>
      </c>
      <c r="E31" s="107">
        <f>'PF ITARA'!BD40</f>
        <v>8.0962436793748691E-2</v>
      </c>
      <c r="F31" s="107">
        <f>'PF ITARA'!BE40</f>
        <v>5.823543240051119E-2</v>
      </c>
      <c r="G31" s="107">
        <f>'PF ITARA'!BF40</f>
        <v>8.1859531829777926E-2</v>
      </c>
      <c r="H31" s="107">
        <f>'PF ITARA'!BG40</f>
        <v>5.1906279884996645E-2</v>
      </c>
      <c r="I31" s="107">
        <f>'PF ITARA'!BH40</f>
        <v>2.8299167665004538E-2</v>
      </c>
      <c r="J31" s="107">
        <f>'PF ITARA'!BI40</f>
        <v>3.8725503416672469E-2</v>
      </c>
      <c r="K31" s="107">
        <f>'PF ITARA'!BJ40</f>
        <v>6.2679641005470021E-2</v>
      </c>
      <c r="L31" s="107">
        <f>'PF ITARA'!BK40</f>
        <v>6.9706895608679723E-2</v>
      </c>
      <c r="M31" s="107">
        <f>'PF ITARA'!BL40</f>
        <v>4.9904175250116492E-2</v>
      </c>
      <c r="N31" s="107">
        <f>'PF ITARA'!BM40</f>
        <v>5.0621011872409874E-2</v>
      </c>
      <c r="O31" s="107">
        <f>'PF ITARA'!BN40</f>
        <v>3.9169847417841804E-2</v>
      </c>
      <c r="P31" s="107">
        <f>'PF ITARA'!BO40</f>
        <v>3.1769008054101114E-2</v>
      </c>
      <c r="Q31" s="107">
        <f>'PF ITARA'!BP40</f>
        <v>3.5686402826567785E-2</v>
      </c>
      <c r="R31" s="107">
        <f>'PF ITARA'!BQ40</f>
        <v>4.3060837140164065E-2</v>
      </c>
      <c r="S31" s="107">
        <f>'PF ITARA'!BR40</f>
        <v>4.9497366212090339E-2</v>
      </c>
      <c r="T31" s="108">
        <f>'PF ITARA'!BS40</f>
        <v>3.6684830150907392E-2</v>
      </c>
    </row>
    <row r="32" spans="1:60" x14ac:dyDescent="0.55000000000000004">
      <c r="A32" s="94"/>
      <c r="B32" s="95"/>
      <c r="C32" s="96"/>
      <c r="D32" s="95"/>
      <c r="E32" s="95"/>
      <c r="F32" s="95"/>
      <c r="G32" s="95"/>
      <c r="H32" s="95"/>
      <c r="I32" s="95"/>
      <c r="J32" s="95"/>
      <c r="K32" s="95"/>
      <c r="L32" s="95"/>
      <c r="M32" s="95"/>
    </row>
    <row r="33" spans="1:13" ht="15.9" thickBot="1" x14ac:dyDescent="0.6">
      <c r="A33" s="94"/>
      <c r="B33" s="103" t="s">
        <v>81</v>
      </c>
      <c r="C33" s="103"/>
      <c r="D33" s="103"/>
      <c r="E33" s="104"/>
      <c r="F33" s="105" t="s">
        <v>82</v>
      </c>
      <c r="G33" s="105"/>
      <c r="H33" s="104"/>
      <c r="I33" s="105" t="s">
        <v>83</v>
      </c>
      <c r="J33" s="105"/>
      <c r="K33" s="105"/>
      <c r="L33" s="95"/>
      <c r="M33" s="95"/>
    </row>
    <row r="34" spans="1:13" x14ac:dyDescent="0.55000000000000004">
      <c r="B34" s="91"/>
      <c r="C34" s="92" t="s">
        <v>58</v>
      </c>
      <c r="D34" s="93" t="s">
        <v>60</v>
      </c>
      <c r="E34" s="6"/>
      <c r="F34" s="97" t="s">
        <v>59</v>
      </c>
      <c r="G34" s="98" t="s">
        <v>61</v>
      </c>
      <c r="H34" s="6"/>
      <c r="I34" s="91" t="s">
        <v>56</v>
      </c>
      <c r="J34" s="101"/>
      <c r="K34" s="102" t="s">
        <v>57</v>
      </c>
    </row>
    <row r="35" spans="1:13" x14ac:dyDescent="0.55000000000000004">
      <c r="B35" s="65" t="s">
        <v>6</v>
      </c>
      <c r="C35" s="66">
        <f>SUMPRODUCT(C26:T26,$C$31:$T$31)</f>
        <v>0.54792628414192035</v>
      </c>
      <c r="D35" s="72">
        <f>C35/MAX($C$35:$C$41)</f>
        <v>0.99267659756250382</v>
      </c>
      <c r="E35" s="2"/>
      <c r="F35" s="99">
        <f>SUMPRODUCT(W26:AN26,$C$31:$T$31)</f>
        <v>0.55278774833928768</v>
      </c>
      <c r="G35" s="67">
        <f>1-(F35/MAX($F$35:$F$41))</f>
        <v>0</v>
      </c>
      <c r="H35" s="2"/>
      <c r="I35" s="99">
        <f>(D35+G35)/2</f>
        <v>0.49633829878125191</v>
      </c>
      <c r="J35" s="23"/>
      <c r="K35" s="24">
        <f>_xlfn.RANK.EQ(I35,$I$35:$I$41)</f>
        <v>2</v>
      </c>
    </row>
    <row r="36" spans="1:13" x14ac:dyDescent="0.55000000000000004">
      <c r="B36" s="65" t="s">
        <v>7</v>
      </c>
      <c r="C36" s="66">
        <f>SUMPRODUCT(C27:T27,$C$31:$T$31)</f>
        <v>0.52516062041917322</v>
      </c>
      <c r="D36" s="72">
        <f>C36/MAX($C$35:$C$41)</f>
        <v>0.95143210490061259</v>
      </c>
      <c r="E36" s="2"/>
      <c r="F36" s="99">
        <f>SUMPRODUCT(W27:AN27,$C$31:$T$31)</f>
        <v>0.54324137483335866</v>
      </c>
      <c r="G36" s="67">
        <f t="shared" ref="G36:G38" si="15">1-(F36/MAX($F$35:$F$41))</f>
        <v>1.7269509924213611E-2</v>
      </c>
      <c r="H36" s="2"/>
      <c r="I36" s="99">
        <f t="shared" ref="I36:I38" si="16">(D36+G36)/2</f>
        <v>0.4843508074124131</v>
      </c>
      <c r="J36" s="23"/>
      <c r="K36" s="24">
        <f t="shared" ref="K36:K38" si="17">_xlfn.RANK.EQ(I36,$I$35:$I$41)</f>
        <v>4</v>
      </c>
    </row>
    <row r="37" spans="1:13" x14ac:dyDescent="0.55000000000000004">
      <c r="B37" s="65" t="s">
        <v>8</v>
      </c>
      <c r="C37" s="66">
        <f>SUMPRODUCT(C28:T28,$C$31:$T$31)</f>
        <v>0.53085153630116755</v>
      </c>
      <c r="D37" s="72">
        <f t="shared" ref="D37:D38" si="18">C37/MAX($C$35:$C$41)</f>
        <v>0.96174232212919386</v>
      </c>
      <c r="E37" s="2"/>
      <c r="F37" s="99">
        <f>SUMPRODUCT(W28:AN28,$C$31:$T$31)</f>
        <v>0.54127979399067871</v>
      </c>
      <c r="G37" s="67">
        <f t="shared" si="15"/>
        <v>2.081803437789953E-2</v>
      </c>
      <c r="H37" s="2"/>
      <c r="I37" s="99">
        <f t="shared" si="16"/>
        <v>0.4912801782535467</v>
      </c>
      <c r="J37" s="23"/>
      <c r="K37" s="24">
        <f t="shared" si="17"/>
        <v>3</v>
      </c>
    </row>
    <row r="38" spans="1:13" ht="14.7" thickBot="1" x14ac:dyDescent="0.6">
      <c r="B38" s="68" t="s">
        <v>9</v>
      </c>
      <c r="C38" s="69">
        <f>SUMPRODUCT(C29:T29,$C$31:$T$31)</f>
        <v>0.55196857212846728</v>
      </c>
      <c r="D38" s="74">
        <f t="shared" si="18"/>
        <v>1</v>
      </c>
      <c r="E38" s="2"/>
      <c r="F38" s="100">
        <f>SUMPRODUCT(W29:AN29,$C$31:$T$31)</f>
        <v>0.54476044390658629</v>
      </c>
      <c r="G38" s="70">
        <f t="shared" si="15"/>
        <v>1.4521494835617155E-2</v>
      </c>
      <c r="H38" s="2"/>
      <c r="I38" s="100">
        <f t="shared" si="16"/>
        <v>0.50726074741780858</v>
      </c>
      <c r="J38" s="27"/>
      <c r="K38" s="29">
        <f t="shared" si="17"/>
        <v>1</v>
      </c>
    </row>
    <row r="39" spans="1:13" x14ac:dyDescent="0.55000000000000004">
      <c r="B39" s="4"/>
      <c r="E39" s="2"/>
      <c r="H39" s="2"/>
      <c r="I39" s="60"/>
    </row>
    <row r="40" spans="1:13" x14ac:dyDescent="0.55000000000000004">
      <c r="B40" s="4"/>
      <c r="C40" s="5"/>
      <c r="D40" s="60"/>
      <c r="E40" s="2"/>
      <c r="F40" s="60"/>
      <c r="G40" s="5"/>
      <c r="H40" s="2"/>
      <c r="I40" s="62"/>
    </row>
    <row r="41" spans="1:13" ht="57" customHeight="1" x14ac:dyDescent="0.55000000000000004">
      <c r="B41" s="4"/>
      <c r="C41" s="5"/>
      <c r="D41" s="60"/>
      <c r="E41" s="2"/>
      <c r="F41" s="60"/>
      <c r="G41" s="5"/>
      <c r="H41" s="2"/>
      <c r="I41" s="62"/>
    </row>
    <row r="45" spans="1:13" x14ac:dyDescent="0.55000000000000004">
      <c r="C45" s="2"/>
      <c r="D45" s="2"/>
      <c r="E45" s="2"/>
      <c r="F45" s="2"/>
      <c r="G45" s="2"/>
      <c r="H45" s="2"/>
      <c r="I45" s="2"/>
    </row>
    <row r="46" spans="1:13" x14ac:dyDescent="0.55000000000000004">
      <c r="C46" s="2"/>
      <c r="D46" s="2"/>
      <c r="E46" s="2"/>
      <c r="F46" s="2"/>
      <c r="G46" s="2"/>
      <c r="H46" s="2"/>
      <c r="I46" s="2"/>
    </row>
    <row r="47" spans="1:13" x14ac:dyDescent="0.55000000000000004">
      <c r="C47" s="2"/>
      <c r="D47" s="2"/>
      <c r="E47" s="2"/>
      <c r="F47" s="2"/>
      <c r="G47" s="2"/>
      <c r="H47" s="2"/>
      <c r="I47" s="2"/>
    </row>
    <row r="48" spans="1:13" x14ac:dyDescent="0.55000000000000004">
      <c r="C48" s="2"/>
      <c r="D48" s="2"/>
      <c r="E48" s="2"/>
      <c r="F48" s="2"/>
      <c r="G48" s="2"/>
      <c r="H48" s="2"/>
      <c r="I48" s="2"/>
    </row>
    <row r="49" spans="3:9" x14ac:dyDescent="0.55000000000000004">
      <c r="C49" s="2"/>
      <c r="D49" s="2"/>
      <c r="E49" s="2"/>
      <c r="F49" s="2"/>
      <c r="G49" s="2"/>
      <c r="H49" s="2"/>
      <c r="I49" s="2"/>
    </row>
  </sheetData>
  <mergeCells count="15">
    <mergeCell ref="B12:T12"/>
    <mergeCell ref="V12:AN12"/>
    <mergeCell ref="B23:AN23"/>
    <mergeCell ref="B33:D33"/>
    <mergeCell ref="F33:G33"/>
    <mergeCell ref="I33:K33"/>
    <mergeCell ref="I40:I41"/>
    <mergeCell ref="B15:T15"/>
    <mergeCell ref="V15:AN15"/>
    <mergeCell ref="B25:T25"/>
    <mergeCell ref="V25:AN25"/>
    <mergeCell ref="B3:T3"/>
    <mergeCell ref="V3:AN3"/>
    <mergeCell ref="AP3:BH3"/>
    <mergeCell ref="B11:AN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PF ITARA</vt:lpstr>
      <vt:lpstr>PF EDAS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Ertugrul Ayyildiz</dc:creator>
  <cp:lastModifiedBy>Ertuğrul Ayyıldız</cp:lastModifiedBy>
  <dcterms:created xsi:type="dcterms:W3CDTF">2015-06-05T18:17:20Z</dcterms:created>
  <dcterms:modified xsi:type="dcterms:W3CDTF">2026-05-29T08:56:02Z</dcterms:modified>
</cp:coreProperties>
</file>